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<sst xmlns="http://schemas.openxmlformats.org/spreadsheetml/2006/main" count="562" uniqueCount="310">
  <si>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</si>
  <si>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</si>
  <si>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</si>
  <si>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</si>
  <si>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</si>
  <si>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</si>
  <si>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</si>
  <si>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</si>
  <si>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</si>
  <si>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</si>
  <si>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</si>
  <si>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</si>
  <si>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</si>
  <si>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</si>
  <si>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</si>
  <si>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</si>
  <si>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</si>
  <si>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</si>
  <si>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</si>
  <si>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</si>
  <si>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</si>
  <si>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</si>
  <si>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</si>
  <si>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</si>
  <si>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</si>
  <si>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</si>
  <si>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</si>
  <si>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</si>
  <si>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</si>
  <si>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</si>
  <si>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</si>
  <si>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</si>
  <si>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</si>
  <si>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</si>
  <si>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</si>
  <si>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</si>
  <si>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</si>
  <si>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</si>
  <si>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</si>
  <si>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</si>
  <si>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</si>
  <si>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</si>
  <si>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</si>
  <si>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General noise 20 min in (O1 &amp; O2 super noisy -- "Recorder" (splitter box) fell down w/towel - secure better)</t>
  </si>
  <si>
    <t xml:space="preserve">Task-related comments</t>
  </si>
  <si>
    <t xml:space="preserve">Else</t>
  </si>
  <si>
    <t xml:space="preserve">Notes T2</t>
  </si>
  <si>
    <t xml:space="preserve">Po9 bad from 10 min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</si>
  <si>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</si>
  <si>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</si>
  <si>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</si>
  <si>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</si>
  <si>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</si>
  <si>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</si>
  <si>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</si>
  <si>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</si>
  <si>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</si>
  <si>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</si>
  <si>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</si>
  <si>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</si>
  <si>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</si>
  <si>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</si>
  <si>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</si>
  <si>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</si>
  <si>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</si>
  <si>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</si>
  <si>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</si>
  <si>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</si>
  <si>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</si>
  <si>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</si>
  <si>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</si>
  <si>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</si>
  <si>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</si>
  <si>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</si>
  <si>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</si>
  <si>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</si>
  <si>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</si>
  <si>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</si>
  <si>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</si>
  <si>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</si>
  <si>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</si>
  <si>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</si>
  <si>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</si>
  <si>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</si>
  <si>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</si>
  <si>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</si>
  <si>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</si>
  <si>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</si>
  <si>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</si>
  <si>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</si>
  <si>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</si>
  <si>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</si>
  <si>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</si>
  <si>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</si>
  <si>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</si>
  <si>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</si>
  <si>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</si>
  <si>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</si>
  <si>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</si>
  <si>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</si>
  <si>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</si>
  <si>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</si>
  <si>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</si>
  <si>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</si>
  <si>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</si>
  <si>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</si>
  <si>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</si>
  <si>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</si>
  <si>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</si>
  <si>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</si>
  <si>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</si>
  <si>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</si>
  <si>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</si>
  <si>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</si>
  <si>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</si>
  <si>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</si>
  <si>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</si>
  <si>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</si>
  <si>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</si>
  <si>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</si>
  <si>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</si>
  <si>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</si>
  <si>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</si>
  <si>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</si>
  <si>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</si>
  <si>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</si>
  <si>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</si>
  <si>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</si>
  <si>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</si>
  <si>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</si>
  <si>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</si>
  <si>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</si>
  <si>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</si>
  <si>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</si>
  <si>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</si>
  <si>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</si>
  <si>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</si>
  <si>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</si>
  <si>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</si>
  <si>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</si>
  <si>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</si>
  <si>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</si>
  <si>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</si>
  <si>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</si>
  <si>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</si>
  <si>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</si>
  <si>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</si>
  <si>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</si>
  <si>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</si>
  <si>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</si>
  <si>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</si>
  <si>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</si>
  <si>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</si>
  <si>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</si>
  <si>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</si>
  <si>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</si>
  <si>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</si>
  <si>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</si>
  <si>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</si>
  <si>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</si>
  <si>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</si>
  <si>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</si>
  <si>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</si>
  <si>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</si>
  <si>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</si>
  <si>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</si>
  <si>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</si>
  <si>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</si>
  <si>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</si>
  <si>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</si>
  <si>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</si>
  <si>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</si>
  <si>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</si>
  <si>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</si>
  <si>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</si>
  <si>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</si>
  <si>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</si>
  <si>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</si>
  <si>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</si>
  <si>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</si>
  <si>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</si>
  <si>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</si>
  <si>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</si>
  <si>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</si>
  <si>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</si>
  <si>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</si>
  <si>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</si>
  <si>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</si>
  <si>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</si>
  <si>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</si>
  <si>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</si>
  <si>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</si>
  <si>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</si>
  <si>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</si>
  <si>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</si>
  <si>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</si>
  <si>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</si>
  <si>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</si>
  <si>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</si>
  <si>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</si>
  <si>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</si>
  <si>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</si>
  <si>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</si>
  <si>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</si>
  <si>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</si>
  <si>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</si>
  <si>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</si>
  <si>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</si>
  <si>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</si>
  <si>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</si>
  <si>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</si>
  <si>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</si>
  <si>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</si>
  <si>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</si>
  <si>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</si>
  <si>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</si>
  <si>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</si>
  <si>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</si>
  <si>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</si>
  <si>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</si>
  <si>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</si>
  <si>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</si>
  <si>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</si>
  <si>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</si>
  <si>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</si>
  <si>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</si>
  <si>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</si>
  <si>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</si>
  <si>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</si>
  <si>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</si>
  <si>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</si>
  <si>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</si>
  <si>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</si>
  <si>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</si>
  <si>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</si>
  <si>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</si>
  <si>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</si>
  <si>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</si>
  <si>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</si>
  <si>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</si>
  <si>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</si>
  <si>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</si>
  <si>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</si>
  <si>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</si>
  <si>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</si>
  <si>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</si>
  <si>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</si>
  <si>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</si>
  <si>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</si>
  <si>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</si>
  <si>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q1</t>
  </si>
  <si>
    <t xml:space="preserve">q4</t>
  </si>
  <si>
    <t xml:space="preserve">q5</t>
  </si>
  <si>
    <t xml:space="preserve">q7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</si>
  <si>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</si>
  <si>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</si>
  <si>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</si>
  <si>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</si>
  <si>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</si>
  <si>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</si>
  <si>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</si>
  <si>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</si>
  <si>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</si>
  <si>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</si>
  <si>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</si>
  <si>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</si>
  <si>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q2</t>
  </si>
  <si>
    <t xml:space="preserve">q3</t>
  </si>
  <si>
    <t xml:space="preserve">q6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</si>
  <si>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</si>
  <si>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</si>
  <si>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</si>
  <si>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</si>
  <si>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</si>
  <si>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</si>
  <si>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</si>
  <si>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</si>
  <si>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</si>
  <si>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</si>
  <si>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</si>
  <si>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</si>
  <si>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Telte antall trykk, prøvde å variere. Visualiserte antall trykk.</t>
  </si>
  <si>
    <t xml:space="preserve">nei</t>
  </si>
  <si>
    <t xml:space="preserve">Det jeg skal gjøre </t>
  </si>
  <si>
    <t xml:space="preserve">Miniquiz</t>
  </si>
  <si>
    <t xml:space="preserve">Quiz feil (antall)</t>
  </si>
  <si>
    <t xml:space="preserve">Hvilket spørsmål?</t>
  </si>
  <si>
    <t xml:space="preserve">Telte, visualiserte myntkast</t>
  </si>
  <si>
    <t xml:space="preserve">lang </t>
  </si>
  <si>
    <t xml:space="preserve">Det som skjer etterpå og den siste helgen.</t>
  </si>
  <si>
    <t xml:space="preserve">Nei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</si>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</sst>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"/>
    <numFmt numFmtId="166" formatCode="General"/>
    <numFmt numFmtId="167" formatCode="dd/mm/yyyy"/>
    <numFmt numFmtId="168" formatCode="hh:mm"/>
    <numFmt numFmtId="169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G11" activeCellId="0" sqref="G1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71"/>
    <col collapsed="false" customWidth="true" hidden="false" outlineLevel="0" max="3" min="3" style="0" width="4.72"/>
    <col collapsed="false" customWidth="true" hidden="false" outlineLevel="0" max="4" min="4" style="0" width="11.28"/>
    <col collapsed="false" customWidth="true" hidden="false" outlineLevel="0" max="5" min="5" style="0" width="4.72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33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19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1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44634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11</v>
      </c>
      <c r="E8" s="11" t="n">
        <v>26</v>
      </c>
      <c r="F8" s="8" t="s">
        <v>15</v>
      </c>
      <c r="H8" s="12" t="n">
        <f aca="false">((E8/0.6)/100)+D8</f>
        <v>11.4333333333333</v>
      </c>
    </row>
    <row r="9" customFormat="false" ht="15" hidden="false" customHeight="false" outlineLevel="0" collapsed="false">
      <c r="B9" s="5" t="s">
        <v>16</v>
      </c>
      <c r="C9" s="6"/>
      <c r="D9" s="10" t="n">
        <v>44641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12</v>
      </c>
      <c r="E10" s="11" t="n">
        <v>25</v>
      </c>
      <c r="F10" s="8" t="s">
        <v>15</v>
      </c>
      <c r="H10" s="12" t="n">
        <f aca="false">((E10/0.6)/100)+D10</f>
        <v>12.4166666666667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n">
        <v>0</v>
      </c>
      <c r="F13" s="8" t="s">
        <v>23</v>
      </c>
      <c r="H13" s="12" t="n">
        <f aca="false">IF(ISTEXT(D13)=TRUE(),1,0)</f>
        <v>0</v>
      </c>
    </row>
    <row r="14" customFormat="false" ht="15" hidden="false" customHeight="false" outlineLevel="0" collapsed="false">
      <c r="B14" s="5" t="s">
        <v>24</v>
      </c>
      <c r="C14" s="6"/>
      <c r="D14" s="7" t="n">
        <v>0</v>
      </c>
      <c r="F14" s="8" t="s">
        <v>25</v>
      </c>
    </row>
    <row r="15" customFormat="false" ht="15" hidden="false" customHeight="false" outlineLevel="0" collapsed="false">
      <c r="B15" s="14" t="s">
        <v>26</v>
      </c>
      <c r="C15" s="15"/>
      <c r="D15" s="16" t="n">
        <v>11</v>
      </c>
      <c r="F15" s="8"/>
    </row>
    <row r="16" customFormat="false" ht="15" hidden="false" customHeight="false" outlineLevel="0" collapsed="false">
      <c r="B16" s="14" t="s">
        <v>27</v>
      </c>
      <c r="C16" s="15"/>
      <c r="D16" s="16" t="n">
        <v>11</v>
      </c>
      <c r="F16" s="8"/>
    </row>
    <row r="17" customFormat="false" ht="15" hidden="false" customHeight="false" outlineLevel="0" collapsed="false">
      <c r="A17" s="17" t="s">
        <v>28</v>
      </c>
      <c r="B17" s="18"/>
      <c r="C17" s="4" t="s">
        <v>29</v>
      </c>
      <c r="D17" s="19"/>
    </row>
    <row r="18" customFormat="false" ht="15" hidden="false" customHeight="false" outlineLevel="0" collapsed="false">
      <c r="B18" s="5" t="s">
        <v>30</v>
      </c>
      <c r="C18" s="20"/>
      <c r="D18" s="21"/>
    </row>
    <row r="19" customFormat="false" ht="16.4" hidden="false" customHeight="false" outlineLevel="0" collapsed="false">
      <c r="C19" s="22" t="s">
        <v>31</v>
      </c>
      <c r="D19" s="23" t="n">
        <v>1</v>
      </c>
      <c r="F19" s="8" t="s">
        <v>32</v>
      </c>
    </row>
    <row r="20" customFormat="false" ht="16.4" hidden="false" customHeight="false" outlineLevel="0" collapsed="false">
      <c r="C20" s="22" t="s">
        <v>33</v>
      </c>
      <c r="D20" s="11" t="n">
        <v>1</v>
      </c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35</v>
      </c>
      <c r="C22" s="20"/>
      <c r="D22" s="24"/>
    </row>
    <row r="23" customFormat="false" ht="16.4" hidden="false" customHeight="false" outlineLevel="0" collapsed="false">
      <c r="C23" s="22" t="s">
        <v>31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33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36</v>
      </c>
      <c r="C25" s="20"/>
      <c r="D25" s="24"/>
    </row>
    <row r="26" customFormat="false" ht="16.4" hidden="false" customHeight="false" outlineLevel="0" collapsed="false">
      <c r="C26" s="22" t="s">
        <v>31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33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38</v>
      </c>
      <c r="C29" s="20"/>
      <c r="D29" s="27" t="n">
        <f aca="false">SUM(D19:D28)/COUNT(D19:D28)</f>
        <v>1</v>
      </c>
      <c r="F29" s="9" t="s">
        <v>39</v>
      </c>
    </row>
    <row r="30" customFormat="false" ht="15" hidden="false" customHeight="false" outlineLevel="0" collapsed="false">
      <c r="A30" s="1" t="s">
        <v>40</v>
      </c>
      <c r="B30" s="4"/>
      <c r="C30" s="28"/>
    </row>
    <row r="31" customFormat="false" ht="15" hidden="false" customHeight="false" outlineLevel="0" collapsed="false">
      <c r="B31" s="5" t="s">
        <v>41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42</v>
      </c>
      <c r="C32" s="6"/>
      <c r="D32" s="29" t="s">
        <v>43</v>
      </c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44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45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46</v>
      </c>
      <c r="B35" s="4"/>
      <c r="C35" s="28"/>
    </row>
    <row r="36" customFormat="false" ht="15" hidden="false" customHeight="false" outlineLevel="0" collapsed="false">
      <c r="B36" s="5" t="s">
        <v>41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42</v>
      </c>
      <c r="C37" s="6"/>
      <c r="D37" s="29" t="s">
        <v>47</v>
      </c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44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45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C3" activeCellId="0" sqref="AC3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28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29"/>
    <col collapsed="false" customWidth="true" hidden="false" outlineLevel="0" max="6" min="6" style="30" width="8"/>
    <col collapsed="false" customWidth="true" hidden="false" outlineLevel="0" max="7" min="7" style="30" width="2.71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28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28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8" min="17" style="30" width="10.29"/>
    <col collapsed="false" customWidth="true" hidden="false" outlineLevel="0" max="19" min="19" style="30" width="2.71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72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48</v>
      </c>
      <c r="E1" s="30" t="s">
        <v>49</v>
      </c>
      <c r="H1" s="30" t="s">
        <v>50</v>
      </c>
      <c r="K1" s="30" t="s">
        <v>51</v>
      </c>
      <c r="N1" s="30" t="s">
        <v>51</v>
      </c>
      <c r="T1" s="30" t="s">
        <v>52</v>
      </c>
      <c r="X1" s="30" t="s">
        <v>53</v>
      </c>
      <c r="AB1" s="30" t="s">
        <v>54</v>
      </c>
    </row>
    <row r="2" customFormat="false" ht="14.25" hidden="false" customHeight="false" outlineLevel="0" collapsed="false">
      <c r="A2" s="31" t="s">
        <v>55</v>
      </c>
      <c r="B2" s="32" t="s">
        <v>56</v>
      </c>
      <c r="C2" s="33"/>
      <c r="E2" s="31" t="s">
        <v>57</v>
      </c>
      <c r="F2" s="34" t="s">
        <v>56</v>
      </c>
      <c r="H2" s="31" t="s">
        <v>58</v>
      </c>
      <c r="I2" s="34" t="s">
        <v>56</v>
      </c>
      <c r="K2" s="31" t="s">
        <v>59</v>
      </c>
      <c r="L2" s="34" t="s">
        <v>56</v>
      </c>
      <c r="N2" s="35" t="s">
        <v>60</v>
      </c>
      <c r="O2" s="36" t="s">
        <v>61</v>
      </c>
      <c r="P2" s="36" t="s">
        <v>62</v>
      </c>
      <c r="Q2" s="37" t="s">
        <v>63</v>
      </c>
      <c r="T2" s="31" t="s">
        <v>64</v>
      </c>
      <c r="U2" s="31" t="s">
        <v>65</v>
      </c>
      <c r="V2" s="31" t="s">
        <v>66</v>
      </c>
      <c r="X2" s="17" t="s">
        <v>67</v>
      </c>
      <c r="Y2" s="17" t="s">
        <v>56</v>
      </c>
      <c r="Z2" s="17" t="s">
        <v>68</v>
      </c>
      <c r="AB2" s="31" t="s">
        <v>69</v>
      </c>
      <c r="AC2" s="31" t="s">
        <v>65</v>
      </c>
    </row>
    <row r="3" customFormat="false" ht="14.25" hidden="false" customHeight="false" outlineLevel="0" collapsed="false">
      <c r="A3" s="38" t="s">
        <v>70</v>
      </c>
      <c r="B3" s="39" t="n">
        <v>1</v>
      </c>
      <c r="C3" s="33"/>
      <c r="E3" s="40" t="s">
        <v>71</v>
      </c>
      <c r="F3" s="41" t="n">
        <v>7</v>
      </c>
      <c r="H3" s="40" t="s">
        <v>71</v>
      </c>
      <c r="I3" s="41" t="n">
        <v>3</v>
      </c>
      <c r="K3" s="40" t="s">
        <v>72</v>
      </c>
      <c r="L3" s="41" t="n">
        <v>0</v>
      </c>
      <c r="N3" s="38" t="s">
        <v>73</v>
      </c>
      <c r="O3" s="42" t="n">
        <v>24</v>
      </c>
      <c r="P3" s="42" t="n">
        <v>0</v>
      </c>
      <c r="Q3" s="43" t="n">
        <f aca="false">24-(((P3/0.6)/100)+O3)</f>
        <v>0</v>
      </c>
      <c r="T3" s="38" t="s">
        <v>71</v>
      </c>
      <c r="U3" s="42" t="n">
        <v>2</v>
      </c>
      <c r="V3" s="44" t="n">
        <f aca="false" t="array" ref="V3:V3">_xlfn.IFS(U3=1,4,U3=2,3,U3=3,2,U3=4,1)</f>
        <v>3</v>
      </c>
      <c r="X3" s="27" t="s">
        <v>71</v>
      </c>
      <c r="Y3" s="11" t="n">
        <v>3</v>
      </c>
      <c r="Z3" s="17" t="s">
        <v>74</v>
      </c>
      <c r="AB3" s="38" t="s">
        <v>71</v>
      </c>
      <c r="AC3" s="42" t="n">
        <v>1.5</v>
      </c>
    </row>
    <row r="4" customFormat="false" ht="14.25" hidden="false" customHeight="false" outlineLevel="0" collapsed="false">
      <c r="B4" s="31" t="s">
        <v>75</v>
      </c>
      <c r="C4" s="31" t="s">
        <v>76</v>
      </c>
      <c r="E4" s="40" t="s">
        <v>77</v>
      </c>
      <c r="F4" s="41" t="n">
        <v>3</v>
      </c>
      <c r="H4" s="40" t="s">
        <v>77</v>
      </c>
      <c r="I4" s="41" t="n">
        <v>3</v>
      </c>
      <c r="K4" s="40" t="s">
        <v>78</v>
      </c>
      <c r="L4" s="41" t="n">
        <v>1</v>
      </c>
      <c r="O4" s="45" t="s">
        <v>79</v>
      </c>
      <c r="P4" s="45" t="s">
        <v>80</v>
      </c>
      <c r="Q4" s="31" t="s">
        <v>80</v>
      </c>
      <c r="T4" s="38" t="s">
        <v>77</v>
      </c>
      <c r="U4" s="42" t="n">
        <v>2</v>
      </c>
      <c r="V4" s="44" t="n">
        <f aca="false">U4</f>
        <v>2</v>
      </c>
      <c r="X4" s="46" t="s">
        <v>77</v>
      </c>
      <c r="Y4" s="11" t="n">
        <v>1</v>
      </c>
      <c r="Z4" s="47" t="n">
        <f aca="false">Y3+Y5+Y7+Y11+Y12+Y14+Y16+Y18+Y19+Y21</f>
        <v>31</v>
      </c>
      <c r="AB4" s="38" t="s">
        <v>77</v>
      </c>
      <c r="AC4" s="42" t="n">
        <v>1</v>
      </c>
    </row>
    <row r="5" customFormat="false" ht="14.25" hidden="false" customHeight="false" outlineLevel="0" collapsed="false">
      <c r="A5" s="38" t="s">
        <v>77</v>
      </c>
      <c r="B5" s="42" t="n">
        <v>22</v>
      </c>
      <c r="C5" s="42" t="n">
        <v>0</v>
      </c>
      <c r="E5" s="40" t="s">
        <v>81</v>
      </c>
      <c r="F5" s="41" t="n">
        <v>7</v>
      </c>
      <c r="H5" s="40" t="s">
        <v>81</v>
      </c>
      <c r="I5" s="41" t="n">
        <v>0</v>
      </c>
      <c r="K5" s="40" t="s">
        <v>82</v>
      </c>
      <c r="L5" s="41" t="n">
        <v>1</v>
      </c>
      <c r="N5" s="48" t="s">
        <v>83</v>
      </c>
      <c r="O5" s="42" t="n">
        <v>10</v>
      </c>
      <c r="P5" s="44" t="n">
        <f aca="false" t="array" ref="P5:P5">_xlfn.IFS(O5&lt;=15,0,O5&lt;=30,1,O5&lt;=60,2,O5&gt;=61,3)</f>
        <v>0</v>
      </c>
      <c r="Q5" s="44" t="n">
        <f aca="false" t="array" ref="Q5:Q5">_xlfn.IFS(Q8&gt;=7.01,0,Q8&gt;=6.01,1,Q8&gt;=5.01,2,Q8&lt;=5,3)</f>
        <v>1</v>
      </c>
      <c r="T5" s="38" t="s">
        <v>81</v>
      </c>
      <c r="U5" s="42" t="n">
        <v>3</v>
      </c>
      <c r="V5" s="44" t="n">
        <f aca="false" t="array" ref="V5:V5">_xlfn.IFS(U5=1,4,U5=2,3,U5=3,2,U5=4,1)</f>
        <v>2</v>
      </c>
      <c r="X5" s="27" t="s">
        <v>81</v>
      </c>
      <c r="Y5" s="11" t="n">
        <v>4</v>
      </c>
      <c r="AB5" s="38" t="s">
        <v>81</v>
      </c>
      <c r="AC5" s="42" t="n">
        <v>0</v>
      </c>
    </row>
    <row r="6" customFormat="false" ht="14.25" hidden="false" customHeight="false" outlineLevel="0" collapsed="false">
      <c r="A6" s="38" t="s">
        <v>81</v>
      </c>
      <c r="B6" s="42" t="n">
        <v>7</v>
      </c>
      <c r="C6" s="42" t="n">
        <v>0</v>
      </c>
      <c r="E6" s="40" t="s">
        <v>84</v>
      </c>
      <c r="F6" s="41" t="n">
        <v>6</v>
      </c>
      <c r="H6" s="40" t="s">
        <v>84</v>
      </c>
      <c r="I6" s="41" t="n">
        <v>1</v>
      </c>
      <c r="K6" s="40" t="s">
        <v>77</v>
      </c>
      <c r="L6" s="41" t="n">
        <v>4</v>
      </c>
      <c r="O6" s="36" t="s">
        <v>61</v>
      </c>
      <c r="P6" s="36" t="s">
        <v>62</v>
      </c>
      <c r="Q6" s="36" t="s">
        <v>63</v>
      </c>
      <c r="R6" s="35" t="s">
        <v>85</v>
      </c>
      <c r="T6" s="38" t="s">
        <v>84</v>
      </c>
      <c r="U6" s="42" t="n">
        <v>1</v>
      </c>
      <c r="V6" s="44" t="n">
        <f aca="false">U6</f>
        <v>1</v>
      </c>
      <c r="X6" s="46" t="s">
        <v>84</v>
      </c>
      <c r="Y6" s="11" t="n">
        <v>3</v>
      </c>
      <c r="Z6" s="17" t="s">
        <v>86</v>
      </c>
      <c r="AB6" s="31" t="s">
        <v>87</v>
      </c>
      <c r="AC6" s="49" t="n">
        <f aca="false">SUM(AC3:AC5)</f>
        <v>2.5</v>
      </c>
    </row>
    <row r="7" customFormat="false" ht="14.25" hidden="false" customHeight="false" outlineLevel="0" collapsed="false">
      <c r="A7" s="38" t="s">
        <v>84</v>
      </c>
      <c r="B7" s="42" t="n">
        <v>9</v>
      </c>
      <c r="C7" s="42" t="n">
        <v>0</v>
      </c>
      <c r="E7" s="40" t="s">
        <v>88</v>
      </c>
      <c r="F7" s="41" t="n">
        <v>5</v>
      </c>
      <c r="H7" s="40" t="s">
        <v>88</v>
      </c>
      <c r="I7" s="41" t="n">
        <v>3</v>
      </c>
      <c r="K7" s="40" t="s">
        <v>81</v>
      </c>
      <c r="L7" s="41" t="n">
        <v>4</v>
      </c>
      <c r="N7" s="38" t="s">
        <v>89</v>
      </c>
      <c r="O7" s="42" t="n">
        <v>10</v>
      </c>
      <c r="P7" s="42" t="n">
        <v>30</v>
      </c>
      <c r="Q7" s="44" t="n">
        <f aca="false">((P7/0.6)/100)+O7</f>
        <v>10.5</v>
      </c>
      <c r="R7" s="44" t="n">
        <f aca="false">(Q8/(Q3+Q7))*100</f>
        <v>66.6666666666667</v>
      </c>
      <c r="T7" s="38" t="s">
        <v>88</v>
      </c>
      <c r="U7" s="42" t="n">
        <v>3</v>
      </c>
      <c r="V7" s="44" t="n">
        <f aca="false">U7</f>
        <v>3</v>
      </c>
      <c r="X7" s="27" t="s">
        <v>88</v>
      </c>
      <c r="Y7" s="11" t="n">
        <v>2</v>
      </c>
      <c r="Z7" s="47" t="n">
        <f aca="false">Y4+Y6+Y8+Y9+Y10+Y13+Y15+Y17+Y20+Y22</f>
        <v>24</v>
      </c>
    </row>
    <row r="8" customFormat="false" ht="14.25" hidden="false" customHeight="false" outlineLevel="0" collapsed="false">
      <c r="A8" s="38" t="s">
        <v>88</v>
      </c>
      <c r="B8" s="42" t="n">
        <v>7</v>
      </c>
      <c r="C8" s="42" t="n">
        <v>0</v>
      </c>
      <c r="E8" s="40" t="s">
        <v>90</v>
      </c>
      <c r="F8" s="41" t="n">
        <v>4</v>
      </c>
      <c r="H8" s="40" t="s">
        <v>90</v>
      </c>
      <c r="I8" s="41" t="n">
        <v>0</v>
      </c>
      <c r="K8" s="40" t="s">
        <v>84</v>
      </c>
      <c r="L8" s="41" t="n">
        <v>1</v>
      </c>
      <c r="N8" s="38" t="s">
        <v>91</v>
      </c>
      <c r="O8" s="42" t="n">
        <v>7</v>
      </c>
      <c r="P8" s="42" t="n">
        <v>0</v>
      </c>
      <c r="Q8" s="44" t="n">
        <f aca="false">((P8/0.6)/100)+O8</f>
        <v>7</v>
      </c>
      <c r="T8" s="38" t="s">
        <v>90</v>
      </c>
      <c r="U8" s="42" t="n">
        <v>3</v>
      </c>
      <c r="V8" s="44" t="n">
        <f aca="false" t="array" ref="V8:V8">_xlfn.IFS(U8=1,4,U8=2,3,U8=3,2,U8=4,1)</f>
        <v>2</v>
      </c>
      <c r="X8" s="46" t="s">
        <v>90</v>
      </c>
      <c r="Y8" s="11" t="n">
        <v>4</v>
      </c>
    </row>
    <row r="9" customFormat="false" ht="14.25" hidden="false" customHeight="false" outlineLevel="0" collapsed="false">
      <c r="A9" s="48" t="s">
        <v>90</v>
      </c>
      <c r="B9" s="42" t="n">
        <v>10</v>
      </c>
      <c r="C9" s="50" t="n">
        <v>0</v>
      </c>
      <c r="E9" s="40" t="s">
        <v>92</v>
      </c>
      <c r="F9" s="41" t="n">
        <v>7</v>
      </c>
      <c r="H9" s="40" t="s">
        <v>92</v>
      </c>
      <c r="I9" s="41" t="n">
        <v>0</v>
      </c>
      <c r="K9" s="40" t="s">
        <v>88</v>
      </c>
      <c r="L9" s="41" t="n">
        <v>2</v>
      </c>
      <c r="O9" s="51" t="s">
        <v>56</v>
      </c>
      <c r="P9" s="31" t="s">
        <v>66</v>
      </c>
      <c r="Q9" s="35" t="s">
        <v>80</v>
      </c>
      <c r="T9" s="38" t="s">
        <v>92</v>
      </c>
      <c r="U9" s="42" t="n">
        <v>4</v>
      </c>
      <c r="V9" s="44" t="n">
        <f aca="false" t="array" ref="V9:V9">_xlfn.IFS(U9=1,4,U9=2,3,U9=3,2,U9=4,1)</f>
        <v>1</v>
      </c>
      <c r="X9" s="46" t="s">
        <v>92</v>
      </c>
      <c r="Y9" s="11" t="n">
        <v>2</v>
      </c>
    </row>
    <row r="10" customFormat="false" ht="14.25" hidden="false" customHeight="false" outlineLevel="0" collapsed="false">
      <c r="B10" s="31" t="s">
        <v>56</v>
      </c>
      <c r="E10" s="40" t="s">
        <v>93</v>
      </c>
      <c r="F10" s="41" t="n">
        <v>7</v>
      </c>
      <c r="H10" s="40" t="s">
        <v>93</v>
      </c>
      <c r="I10" s="41" t="n">
        <v>0</v>
      </c>
      <c r="K10" s="40" t="s">
        <v>94</v>
      </c>
      <c r="L10" s="52" t="n">
        <f aca="false">SUM(L3:L9)</f>
        <v>13</v>
      </c>
      <c r="N10" s="38" t="s">
        <v>95</v>
      </c>
      <c r="O10" s="42" t="n">
        <v>2</v>
      </c>
      <c r="P10" s="44" t="n">
        <f aca="false">O10-1</f>
        <v>1</v>
      </c>
      <c r="Q10" s="43" t="n">
        <f aca="false">P5+P10</f>
        <v>1</v>
      </c>
      <c r="U10" s="35" t="s">
        <v>94</v>
      </c>
      <c r="V10" s="49" t="n">
        <f aca="false">SUM(V3:V9)/7</f>
        <v>2</v>
      </c>
      <c r="X10" s="46" t="s">
        <v>93</v>
      </c>
      <c r="Y10" s="11" t="n">
        <v>1</v>
      </c>
    </row>
    <row r="11" customFormat="false" ht="14.25" hidden="false" customHeight="false" outlineLevel="0" collapsed="false">
      <c r="A11" s="48" t="s">
        <v>92</v>
      </c>
      <c r="B11" s="42" t="n">
        <v>2</v>
      </c>
      <c r="E11" s="40" t="s">
        <v>96</v>
      </c>
      <c r="F11" s="41" t="n">
        <v>7</v>
      </c>
      <c r="H11" s="40" t="s">
        <v>94</v>
      </c>
      <c r="I11" s="53" t="n">
        <f aca="false">SUM(I3:I10)</f>
        <v>10</v>
      </c>
      <c r="K11" s="40" t="s">
        <v>80</v>
      </c>
      <c r="L11" s="52" t="n">
        <f aca="false">SUM(GESTEP(L10,0),GESTEP(L10,8),GESTEP(L10,15),GESTEP(L10,22))</f>
        <v>2</v>
      </c>
      <c r="N11" s="38" t="s">
        <v>97</v>
      </c>
      <c r="O11" s="42" t="n">
        <v>4</v>
      </c>
      <c r="P11" s="44" t="n">
        <f aca="false">O11-1</f>
        <v>3</v>
      </c>
      <c r="X11" s="27" t="s">
        <v>96</v>
      </c>
      <c r="Y11" s="11" t="n">
        <v>5</v>
      </c>
    </row>
    <row r="12" customFormat="false" ht="14.25" hidden="false" customHeight="false" outlineLevel="0" collapsed="false">
      <c r="A12" s="38" t="s">
        <v>93</v>
      </c>
      <c r="B12" s="54" t="n">
        <v>0</v>
      </c>
      <c r="C12" s="33"/>
      <c r="E12" s="40" t="s">
        <v>66</v>
      </c>
      <c r="F12" s="49" t="n">
        <f aca="false">SUM(F3:F11)/9</f>
        <v>5.88888888888889</v>
      </c>
      <c r="H12" s="40" t="s">
        <v>80</v>
      </c>
      <c r="I12" s="52" t="n">
        <f aca="false">SUM(GESTEP(I11,0),GESTEP(I11,6),GESTEP(I11,11),GESTEP(I11,13),GESTEP(I11,16))</f>
        <v>2</v>
      </c>
      <c r="N12" s="38" t="s">
        <v>98</v>
      </c>
      <c r="O12" s="42" t="n">
        <v>2</v>
      </c>
      <c r="P12" s="44" t="n">
        <f aca="false">O12-1</f>
        <v>1</v>
      </c>
      <c r="Q12" s="55" t="s">
        <v>99</v>
      </c>
      <c r="R12" s="56" t="n">
        <f aca="false">P20</f>
        <v>1</v>
      </c>
      <c r="X12" s="27" t="s">
        <v>100</v>
      </c>
      <c r="Y12" s="11" t="n">
        <v>3</v>
      </c>
    </row>
    <row r="13" customFormat="false" ht="14.25" hidden="false" customHeight="false" outlineLevel="0" collapsed="false">
      <c r="N13" s="38" t="s">
        <v>101</v>
      </c>
      <c r="O13" s="42" t="n">
        <v>1</v>
      </c>
      <c r="P13" s="44" t="n">
        <f aca="false">O13-1</f>
        <v>0</v>
      </c>
      <c r="Q13" s="55" t="s">
        <v>102</v>
      </c>
      <c r="R13" s="56" t="n">
        <f aca="false" t="array" ref="R13:R13">_xlfn.IFS(Q10=0,0,Q10&lt;=2,1,Q10&lt;=4,2,Q10&lt;=6,3)</f>
        <v>1</v>
      </c>
      <c r="X13" s="46" t="s">
        <v>103</v>
      </c>
      <c r="Y13" s="11" t="n">
        <v>2</v>
      </c>
    </row>
    <row r="14" customFormat="false" ht="14.25" hidden="false" customHeight="false" outlineLevel="0" collapsed="false">
      <c r="N14" s="38" t="s">
        <v>104</v>
      </c>
      <c r="O14" s="42" t="n">
        <v>1</v>
      </c>
      <c r="P14" s="44" t="n">
        <f aca="false">O14-1</f>
        <v>0</v>
      </c>
      <c r="Q14" s="55" t="s">
        <v>105</v>
      </c>
      <c r="R14" s="56" t="n">
        <f aca="false">Q5</f>
        <v>1</v>
      </c>
      <c r="X14" s="27" t="s">
        <v>106</v>
      </c>
      <c r="Y14" s="11" t="n">
        <v>4</v>
      </c>
    </row>
    <row r="15" customFormat="false" ht="14.25" hidden="false" customHeight="false" outlineLevel="0" collapsed="false">
      <c r="N15" s="38" t="s">
        <v>107</v>
      </c>
      <c r="O15" s="42" t="n">
        <v>1</v>
      </c>
      <c r="P15" s="44" t="n">
        <f aca="false">O15-1</f>
        <v>0</v>
      </c>
      <c r="Q15" s="55" t="s">
        <v>108</v>
      </c>
      <c r="R15" s="56" t="n">
        <f aca="false" t="array" ref="R15:R15">_xlfn.IFS(R7&gt;=85,0,R7&gt;=75,1,R7&gt;=65,2,R7&lt;=65,3)</f>
        <v>2</v>
      </c>
      <c r="X15" s="46" t="s">
        <v>109</v>
      </c>
      <c r="Y15" s="11" t="n">
        <v>3</v>
      </c>
    </row>
    <row r="16" customFormat="false" ht="14.25" hidden="false" customHeight="false" outlineLevel="0" collapsed="false">
      <c r="N16" s="38" t="s">
        <v>110</v>
      </c>
      <c r="O16" s="42" t="n">
        <v>3</v>
      </c>
      <c r="P16" s="44" t="n">
        <f aca="false">O16-1</f>
        <v>2</v>
      </c>
      <c r="Q16" s="55" t="s">
        <v>111</v>
      </c>
      <c r="R16" s="56" t="n">
        <f aca="false" t="array" ref="R16:R16">_xlfn.IFS(Q21=0,0,Q21&gt;=1,1,Q21&gt;=10,2,Q21&gt;=19,3)</f>
        <v>1</v>
      </c>
      <c r="X16" s="27" t="s">
        <v>112</v>
      </c>
      <c r="Y16" s="11" t="n">
        <v>2</v>
      </c>
    </row>
    <row r="17" customFormat="false" ht="14.25" hidden="false" customHeight="false" outlineLevel="0" collapsed="false">
      <c r="A17" s="30" t="s">
        <v>113</v>
      </c>
      <c r="N17" s="38" t="s">
        <v>114</v>
      </c>
      <c r="O17" s="42" t="n">
        <v>3</v>
      </c>
      <c r="P17" s="44" t="n">
        <f aca="false">O17-1</f>
        <v>2</v>
      </c>
      <c r="Q17" s="55" t="s">
        <v>115</v>
      </c>
      <c r="R17" s="56" t="n">
        <f aca="false">P21</f>
        <v>0</v>
      </c>
      <c r="X17" s="46" t="s">
        <v>116</v>
      </c>
      <c r="Y17" s="11" t="n">
        <v>3</v>
      </c>
    </row>
    <row r="18" customFormat="false" ht="14.25" hidden="false" customHeight="false" outlineLevel="0" collapsed="false">
      <c r="N18" s="38" t="s">
        <v>117</v>
      </c>
      <c r="O18" s="42" t="n">
        <v>2</v>
      </c>
      <c r="P18" s="44" t="n">
        <f aca="false">O18-1</f>
        <v>1</v>
      </c>
      <c r="Q18" s="55" t="s">
        <v>118</v>
      </c>
      <c r="R18" s="56" t="n">
        <f aca="false" t="array" ref="R18:R18">_xlfn.IFS(Q23=0,0,Q23&lt;=2,1,Q23&lt;=4,2,Q23&lt;=6,3)</f>
        <v>2</v>
      </c>
      <c r="X18" s="27" t="s">
        <v>119</v>
      </c>
      <c r="Y18" s="11" t="n">
        <v>3</v>
      </c>
    </row>
    <row r="19" customFormat="false" ht="14.25" hidden="false" customHeight="false" outlineLevel="0" collapsed="false">
      <c r="N19" s="38" t="s">
        <v>120</v>
      </c>
      <c r="O19" s="42" t="n">
        <v>1</v>
      </c>
      <c r="P19" s="44" t="n">
        <f aca="false">O19-1</f>
        <v>0</v>
      </c>
      <c r="Q19" s="37" t="s">
        <v>121</v>
      </c>
      <c r="R19" s="49" t="n">
        <f aca="false">SUM(R12:R18)</f>
        <v>8</v>
      </c>
      <c r="X19" s="27" t="s">
        <v>122</v>
      </c>
      <c r="Y19" s="11" t="n">
        <v>3</v>
      </c>
    </row>
    <row r="20" customFormat="false" ht="14.25" hidden="false" customHeight="false" outlineLevel="0" collapsed="false">
      <c r="N20" s="38" t="s">
        <v>123</v>
      </c>
      <c r="O20" s="42" t="n">
        <v>2</v>
      </c>
      <c r="P20" s="44" t="n">
        <f aca="false">O20-1</f>
        <v>1</v>
      </c>
      <c r="Q20" s="37" t="s">
        <v>124</v>
      </c>
      <c r="X20" s="46" t="s">
        <v>125</v>
      </c>
      <c r="Y20" s="11" t="n">
        <v>3</v>
      </c>
    </row>
    <row r="21" customFormat="false" ht="14.25" hidden="false" customHeight="false" outlineLevel="0" collapsed="false">
      <c r="N21" s="38" t="s">
        <v>126</v>
      </c>
      <c r="O21" s="42" t="n">
        <v>1</v>
      </c>
      <c r="P21" s="44" t="n">
        <f aca="false">O21-1</f>
        <v>0</v>
      </c>
      <c r="Q21" s="43" t="n">
        <f aca="false">SUM(P11:P19)</f>
        <v>9</v>
      </c>
      <c r="X21" s="27" t="s">
        <v>127</v>
      </c>
      <c r="Y21" s="11" t="n">
        <v>2</v>
      </c>
    </row>
    <row r="22" customFormat="false" ht="14.25" hidden="false" customHeight="false" outlineLevel="0" collapsed="false">
      <c r="N22" s="38" t="s">
        <v>128</v>
      </c>
      <c r="O22" s="42" t="n">
        <v>2</v>
      </c>
      <c r="P22" s="44" t="n">
        <f aca="false">O22-1</f>
        <v>1</v>
      </c>
      <c r="Q22" s="35" t="s">
        <v>66</v>
      </c>
      <c r="X22" s="46" t="s">
        <v>129</v>
      </c>
      <c r="Y22" s="11" t="n">
        <v>2</v>
      </c>
    </row>
    <row r="23" customFormat="false" ht="14.25" hidden="false" customHeight="false" outlineLevel="0" collapsed="false">
      <c r="N23" s="38" t="s">
        <v>130</v>
      </c>
      <c r="O23" s="42" t="n">
        <v>4</v>
      </c>
      <c r="P23" s="44" t="n">
        <f aca="false">O23-1</f>
        <v>3</v>
      </c>
      <c r="Q23" s="43" t="n">
        <f aca="false">P23+P22</f>
        <v>4</v>
      </c>
    </row>
    <row r="40" customFormat="false" ht="14.25" hidden="false" customHeight="false" outlineLevel="0" collapsed="false">
      <c r="A40" s="35" t="s">
        <v>131</v>
      </c>
      <c r="B40" s="35" t="s">
        <v>132</v>
      </c>
    </row>
    <row r="41" customFormat="false" ht="14.25" hidden="false" customHeight="false" outlineLevel="0" collapsed="false">
      <c r="A41" s="57" t="s">
        <v>133</v>
      </c>
      <c r="B41" s="57"/>
    </row>
    <row r="42" customFormat="false" ht="14.25" hidden="false" customHeight="false" outlineLevel="0" collapsed="false">
      <c r="A42" s="58" t="s">
        <v>71</v>
      </c>
      <c r="B42" s="59" t="s">
        <v>134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77</v>
      </c>
      <c r="B43" s="59" t="s">
        <v>135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81</v>
      </c>
      <c r="B44" s="59" t="s">
        <v>136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84</v>
      </c>
      <c r="B45" s="59" t="s">
        <v>137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88</v>
      </c>
      <c r="B46" s="59" t="s">
        <v>138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90</v>
      </c>
      <c r="B47" s="59" t="s">
        <v>139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92</v>
      </c>
      <c r="B48" s="59" t="s">
        <v>140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93</v>
      </c>
      <c r="B49" s="59" t="s">
        <v>141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142</v>
      </c>
      <c r="B51" s="60" t="s">
        <v>143</v>
      </c>
      <c r="C51" s="60"/>
      <c r="D51" s="60"/>
      <c r="E51" s="60"/>
    </row>
    <row r="52" customFormat="false" ht="14.25" hidden="false" customHeight="false" outlineLevel="0" collapsed="false">
      <c r="A52" s="58" t="s">
        <v>70</v>
      </c>
      <c r="B52" s="59" t="s">
        <v>144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77</v>
      </c>
      <c r="B53" s="59" t="s">
        <v>145</v>
      </c>
      <c r="C53" s="59"/>
      <c r="D53" s="59"/>
      <c r="E53" s="59"/>
    </row>
    <row r="54" customFormat="false" ht="14.25" hidden="false" customHeight="false" outlineLevel="0" collapsed="false">
      <c r="A54" s="58" t="s">
        <v>81</v>
      </c>
      <c r="B54" s="59" t="s">
        <v>146</v>
      </c>
      <c r="C54" s="59"/>
      <c r="D54" s="59"/>
    </row>
    <row r="55" customFormat="false" ht="14.25" hidden="false" customHeight="false" outlineLevel="0" collapsed="false">
      <c r="A55" s="58" t="s">
        <v>84</v>
      </c>
      <c r="B55" s="59" t="s">
        <v>147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88</v>
      </c>
      <c r="B56" s="59" t="s">
        <v>148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90</v>
      </c>
      <c r="B57" s="59" t="s">
        <v>149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92</v>
      </c>
      <c r="B58" s="59" t="s">
        <v>150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93</v>
      </c>
      <c r="B59" s="59" t="s">
        <v>151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96</v>
      </c>
      <c r="B60" s="59" t="s">
        <v>152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153</v>
      </c>
      <c r="B62" s="60" t="s">
        <v>154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71</v>
      </c>
      <c r="B63" s="59" t="s">
        <v>155</v>
      </c>
      <c r="C63" s="59"/>
    </row>
    <row r="64" customFormat="false" ht="14.25" hidden="false" customHeight="false" outlineLevel="0" collapsed="false">
      <c r="A64" s="58" t="s">
        <v>77</v>
      </c>
      <c r="B64" s="59" t="s">
        <v>156</v>
      </c>
    </row>
    <row r="65" customFormat="false" ht="14.25" hidden="false" customHeight="false" outlineLevel="0" collapsed="false">
      <c r="A65" s="58" t="s">
        <v>81</v>
      </c>
      <c r="B65" s="59" t="s">
        <v>157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84</v>
      </c>
      <c r="B66" s="59" t="s">
        <v>158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88</v>
      </c>
      <c r="B67" s="59" t="s">
        <v>159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90</v>
      </c>
      <c r="B68" s="59" t="s">
        <v>160</v>
      </c>
      <c r="C68" s="59"/>
      <c r="D68" s="59"/>
    </row>
    <row r="69" customFormat="false" ht="14.25" hidden="false" customHeight="false" outlineLevel="0" collapsed="false">
      <c r="A69" s="58" t="s">
        <v>92</v>
      </c>
      <c r="B69" s="59" t="s">
        <v>161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93</v>
      </c>
      <c r="B70" s="59" t="s">
        <v>162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163</v>
      </c>
      <c r="B72" s="60" t="s">
        <v>164</v>
      </c>
      <c r="C72" s="60"/>
      <c r="D72" s="60"/>
      <c r="E72" s="60"/>
    </row>
    <row r="73" customFormat="false" ht="14.25" hidden="false" customHeight="false" outlineLevel="0" collapsed="false">
      <c r="A73" s="58" t="s">
        <v>165</v>
      </c>
      <c r="B73" s="59" t="s">
        <v>166</v>
      </c>
      <c r="C73" s="59"/>
      <c r="D73" s="59"/>
    </row>
    <row r="74" customFormat="false" ht="14.25" hidden="false" customHeight="false" outlineLevel="0" collapsed="false">
      <c r="A74" s="58" t="s">
        <v>167</v>
      </c>
      <c r="B74" s="59" t="s">
        <v>168</v>
      </c>
      <c r="C74" s="59"/>
      <c r="D74" s="59"/>
    </row>
    <row r="75" customFormat="false" ht="14.25" hidden="false" customHeight="false" outlineLevel="0" collapsed="false">
      <c r="A75" s="58" t="s">
        <v>169</v>
      </c>
      <c r="B75" s="59" t="s">
        <v>170</v>
      </c>
      <c r="C75" s="59"/>
      <c r="D75" s="59"/>
      <c r="E75" s="59"/>
    </row>
    <row r="76" customFormat="false" ht="14.25" hidden="false" customHeight="false" outlineLevel="0" collapsed="false">
      <c r="A76" s="58" t="s">
        <v>171</v>
      </c>
      <c r="B76" s="59" t="s">
        <v>172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81</v>
      </c>
      <c r="B77" s="59" t="s">
        <v>173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84</v>
      </c>
      <c r="B78" s="59" t="s">
        <v>174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88</v>
      </c>
      <c r="B79" s="59" t="s">
        <v>175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176</v>
      </c>
      <c r="B80" s="59" t="s">
        <v>177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92</v>
      </c>
      <c r="B81" s="59" t="s">
        <v>178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93</v>
      </c>
      <c r="B82" s="59" t="s">
        <v>179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96</v>
      </c>
      <c r="B83" s="59" t="s">
        <v>180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181</v>
      </c>
      <c r="B84" s="59" t="s">
        <v>182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183</v>
      </c>
      <c r="B85" s="59" t="s">
        <v>184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185</v>
      </c>
      <c r="B86" s="59" t="s">
        <v>186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187</v>
      </c>
      <c r="B87" s="59" t="s">
        <v>188</v>
      </c>
      <c r="C87" s="59"/>
      <c r="D87" s="59"/>
      <c r="E87" s="59"/>
    </row>
    <row r="88" customFormat="false" ht="14.25" hidden="false" customHeight="false" outlineLevel="0" collapsed="false">
      <c r="A88" s="58" t="s">
        <v>189</v>
      </c>
      <c r="B88" s="59" t="s">
        <v>190</v>
      </c>
      <c r="C88" s="59"/>
      <c r="D88" s="59"/>
      <c r="E88" s="59"/>
    </row>
    <row r="89" customFormat="false" ht="14.25" hidden="false" customHeight="false" outlineLevel="0" collapsed="false">
      <c r="A89" s="58" t="s">
        <v>191</v>
      </c>
      <c r="B89" s="59" t="s">
        <v>192</v>
      </c>
      <c r="C89" s="59"/>
      <c r="D89" s="59"/>
      <c r="E89" s="59"/>
    </row>
    <row r="90" customFormat="false" ht="14.25" hidden="false" customHeight="false" outlineLevel="0" collapsed="false">
      <c r="A90" s="58" t="s">
        <v>193</v>
      </c>
      <c r="B90" s="59" t="s">
        <v>194</v>
      </c>
      <c r="C90" s="59"/>
      <c r="D90" s="59"/>
    </row>
    <row r="91" customFormat="false" ht="14.25" hidden="false" customHeight="false" outlineLevel="0" collapsed="false">
      <c r="A91" s="58" t="s">
        <v>195</v>
      </c>
      <c r="B91" s="59" t="s">
        <v>196</v>
      </c>
      <c r="C91" s="59"/>
      <c r="D91" s="59"/>
    </row>
    <row r="92" customFormat="false" ht="14.25" hidden="false" customHeight="false" outlineLevel="0" collapsed="false">
      <c r="A92" s="58" t="s">
        <v>197</v>
      </c>
      <c r="B92" s="59" t="s">
        <v>198</v>
      </c>
      <c r="C92" s="59"/>
      <c r="D92" s="59"/>
    </row>
    <row r="93" customFormat="false" ht="14.25" hidden="false" customHeight="false" outlineLevel="0" collapsed="false">
      <c r="A93" s="58" t="s">
        <v>199</v>
      </c>
      <c r="B93" s="59" t="s">
        <v>200</v>
      </c>
      <c r="C93" s="59"/>
      <c r="D93" s="59"/>
    </row>
    <row r="94" customFormat="false" ht="14.25" hidden="false" customHeight="false" outlineLevel="0" collapsed="false">
      <c r="A94" s="58" t="s">
        <v>201</v>
      </c>
      <c r="B94" s="30" t="s">
        <v>202</v>
      </c>
    </row>
    <row r="95" customFormat="false" ht="14.25" hidden="false" customHeight="false" outlineLevel="0" collapsed="false">
      <c r="A95" s="58" t="s">
        <v>203</v>
      </c>
      <c r="B95" s="59" t="s">
        <v>204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106</v>
      </c>
      <c r="B96" s="59" t="s">
        <v>205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206</v>
      </c>
      <c r="B97" s="59" t="s">
        <v>207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208</v>
      </c>
      <c r="B98" s="59" t="s">
        <v>209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109</v>
      </c>
      <c r="B99" s="59" t="s">
        <v>210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211</v>
      </c>
    </row>
    <row r="102" customFormat="false" ht="14.25" hidden="false" customHeight="false" outlineLevel="0" collapsed="false">
      <c r="A102" s="58" t="s">
        <v>70</v>
      </c>
      <c r="B102" s="59" t="s">
        <v>212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77</v>
      </c>
      <c r="B103" s="59" t="s">
        <v>213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81</v>
      </c>
      <c r="B104" s="59" t="s">
        <v>214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84</v>
      </c>
      <c r="B105" s="59" t="s">
        <v>215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88</v>
      </c>
      <c r="B106" s="59" t="s">
        <v>216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90</v>
      </c>
      <c r="B107" s="59" t="s">
        <v>217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92</v>
      </c>
      <c r="B108" s="59" t="s">
        <v>218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219</v>
      </c>
      <c r="B110" s="60" t="s">
        <v>67</v>
      </c>
    </row>
    <row r="112" customFormat="false" ht="14.25" hidden="false" customHeight="false" outlineLevel="0" collapsed="false">
      <c r="A112" s="60" t="s">
        <v>220</v>
      </c>
      <c r="B112" s="60"/>
    </row>
    <row r="113" customFormat="false" ht="14.25" hidden="false" customHeight="false" outlineLevel="0" collapsed="false">
      <c r="A113" s="58" t="s">
        <v>71</v>
      </c>
      <c r="B113" s="59" t="s">
        <v>221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77</v>
      </c>
      <c r="B114" s="59" t="s">
        <v>222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81</v>
      </c>
      <c r="B115" s="59" t="s">
        <v>223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3" activeCellId="0" sqref="R3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2" min="2" style="0" width="5.14"/>
    <col collapsed="false" customWidth="true" hidden="false" outlineLevel="0" max="3" min="3" style="0" width="5.29"/>
    <col collapsed="false" customWidth="true" hidden="false" outlineLevel="0" max="4" min="4" style="0" width="8.57"/>
    <col collapsed="false" customWidth="true" hidden="false" outlineLevel="0" max="6" min="5" style="0" width="8.72"/>
    <col collapsed="false" customWidth="true" hidden="false" outlineLevel="0" max="7" min="7" style="0" width="4.72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29"/>
    <col collapsed="false" customWidth="true" hidden="false" outlineLevel="0" max="22" min="22" style="0" width="3.72"/>
    <col collapsed="false" customWidth="true" hidden="false" outlineLevel="0" max="23" min="23" style="0" width="13.71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224</v>
      </c>
      <c r="B1" s="62" t="n">
        <f aca="false">DataSheet!D6</f>
        <v>1</v>
      </c>
      <c r="C1" s="9" t="s">
        <v>225</v>
      </c>
      <c r="G1" s="9" t="s">
        <v>226</v>
      </c>
    </row>
    <row r="2" customFormat="false" ht="15" hidden="false" customHeight="false" outlineLevel="0" collapsed="false">
      <c r="D2" s="63" t="s">
        <v>227</v>
      </c>
      <c r="K2" s="63" t="s">
        <v>228</v>
      </c>
      <c r="O2" s="9" t="s">
        <v>229</v>
      </c>
      <c r="P2" s="9" t="s">
        <v>230</v>
      </c>
    </row>
    <row r="3" customFormat="false" ht="15" hidden="false" customHeight="false" outlineLevel="0" collapsed="false">
      <c r="A3" s="64" t="s">
        <v>231</v>
      </c>
      <c r="B3" s="64" t="s">
        <v>232</v>
      </c>
      <c r="C3" s="63" t="s">
        <v>233</v>
      </c>
      <c r="D3" s="65" t="s">
        <v>234</v>
      </c>
      <c r="E3" s="65" t="s">
        <v>235</v>
      </c>
      <c r="F3" s="65" t="s">
        <v>236</v>
      </c>
      <c r="G3" s="17" t="s">
        <v>237</v>
      </c>
      <c r="H3" s="17" t="s">
        <v>238</v>
      </c>
      <c r="I3" s="17" t="s">
        <v>239</v>
      </c>
      <c r="J3" s="17" t="s">
        <v>240</v>
      </c>
      <c r="K3" s="65" t="s">
        <v>241</v>
      </c>
      <c r="L3" s="65" t="s">
        <v>242</v>
      </c>
      <c r="M3" s="17" t="s">
        <v>243</v>
      </c>
      <c r="N3" s="17" t="s">
        <v>239</v>
      </c>
      <c r="O3" s="17" t="s">
        <v>240</v>
      </c>
      <c r="P3" s="17" t="s">
        <v>244</v>
      </c>
      <c r="Q3" s="17" t="s">
        <v>245</v>
      </c>
      <c r="R3" s="65" t="s">
        <v>246</v>
      </c>
      <c r="S3" s="66" t="s">
        <v>247</v>
      </c>
      <c r="T3" s="67" t="s">
        <v>248</v>
      </c>
      <c r="U3" s="67" t="s">
        <v>249</v>
      </c>
      <c r="W3" s="9" t="s">
        <v>250</v>
      </c>
      <c r="X3" s="9" t="s">
        <v>251</v>
      </c>
      <c r="Y3" s="9" t="s">
        <v>252</v>
      </c>
      <c r="Z3" s="9" t="s">
        <v>253</v>
      </c>
    </row>
    <row r="4" customFormat="false" ht="15" hidden="false" customHeight="false" outlineLevel="0" collapsed="false">
      <c r="A4" s="68" t="n">
        <v>44628</v>
      </c>
      <c r="B4" s="69" t="n">
        <v>1</v>
      </c>
      <c r="C4" s="70" t="n">
        <v>24</v>
      </c>
      <c r="D4" s="11" t="n">
        <v>24</v>
      </c>
      <c r="E4" s="11" t="n">
        <v>40</v>
      </c>
      <c r="F4" s="11" t="n">
        <v>20</v>
      </c>
      <c r="G4" s="71" t="n">
        <f aca="false">(E4/0.6)/100</f>
        <v>0.666666666666667</v>
      </c>
      <c r="H4" s="71" t="n">
        <f aca="false">(F4/0.6)/100</f>
        <v>0.333333333333333</v>
      </c>
      <c r="I4" s="71" t="n">
        <f aca="false">D4+G4+H4</f>
        <v>25</v>
      </c>
      <c r="J4" s="71" t="n">
        <f aca="false">C4-I4</f>
        <v>-1</v>
      </c>
      <c r="K4" s="11" t="n">
        <v>9</v>
      </c>
      <c r="L4" s="11" t="n">
        <v>0</v>
      </c>
      <c r="M4" s="71" t="n">
        <f aca="false">(L4/0.6)/100</f>
        <v>0</v>
      </c>
      <c r="N4" s="71" t="n">
        <f aca="false">K4+M4</f>
        <v>9</v>
      </c>
      <c r="O4" s="71" t="n">
        <f aca="false">N4+J4</f>
        <v>8</v>
      </c>
      <c r="P4" s="71" t="n">
        <f aca="false">ROUNDDOWN(O4,0)</f>
        <v>8</v>
      </c>
      <c r="Q4" s="71" t="n">
        <f aca="false">(O4-P4)*0.6</f>
        <v>0</v>
      </c>
      <c r="R4" s="11" t="n">
        <v>3</v>
      </c>
      <c r="S4" s="71" t="n">
        <f aca="false">IF(R4&gt;0,R4-1,"")</f>
        <v>2</v>
      </c>
      <c r="T4" s="72" t="n">
        <f aca="false">P4</f>
        <v>8</v>
      </c>
      <c r="U4" s="72" t="n">
        <f aca="false">Q4*100</f>
        <v>0</v>
      </c>
      <c r="W4" s="73" t="n">
        <v>0.0138888888888889</v>
      </c>
      <c r="X4" s="0" t="n">
        <v>2</v>
      </c>
      <c r="Y4" s="0" t="n">
        <v>20</v>
      </c>
      <c r="Z4" s="73" t="n">
        <v>0.375</v>
      </c>
    </row>
    <row r="5" customFormat="false" ht="15" hidden="false" customHeight="false" outlineLevel="0" collapsed="false">
      <c r="A5" s="68" t="n">
        <v>44629</v>
      </c>
      <c r="B5" s="69" t="n">
        <v>2</v>
      </c>
      <c r="C5" s="70" t="n">
        <v>24</v>
      </c>
      <c r="D5" s="11" t="n">
        <v>25</v>
      </c>
      <c r="E5" s="11" t="n">
        <v>10</v>
      </c>
      <c r="F5" s="11" t="n">
        <v>15</v>
      </c>
      <c r="G5" s="71" t="n">
        <f aca="false">(E5/0.6)/100</f>
        <v>0.166666666666667</v>
      </c>
      <c r="H5" s="71" t="n">
        <f aca="false">(F5/0.6)/100</f>
        <v>0.25</v>
      </c>
      <c r="I5" s="71" t="n">
        <f aca="false">D5+G5+H5</f>
        <v>25.4166666666667</v>
      </c>
      <c r="J5" s="71" t="n">
        <f aca="false">C5-I5</f>
        <v>-1.41666666666667</v>
      </c>
      <c r="K5" s="11" t="n">
        <v>9</v>
      </c>
      <c r="L5" s="11" t="n">
        <v>0</v>
      </c>
      <c r="M5" s="71" t="n">
        <f aca="false">(L5/0.6)/100</f>
        <v>0</v>
      </c>
      <c r="N5" s="71" t="n">
        <f aca="false">K5+M5</f>
        <v>9</v>
      </c>
      <c r="O5" s="71" t="n">
        <f aca="false">N5+J5</f>
        <v>7.58333333333333</v>
      </c>
      <c r="P5" s="71" t="n">
        <f aca="false">ROUNDDOWN(O5,0)</f>
        <v>7</v>
      </c>
      <c r="Q5" s="71" t="n">
        <f aca="false">(O5-P5)*0.6</f>
        <v>0.349999999999999</v>
      </c>
      <c r="R5" s="11" t="n">
        <v>1</v>
      </c>
      <c r="S5" s="71" t="n">
        <f aca="false">IF(R5&gt;0,R5-1,"")</f>
        <v>0</v>
      </c>
      <c r="T5" s="72" t="n">
        <f aca="false">P5</f>
        <v>7</v>
      </c>
      <c r="U5" s="72" t="n">
        <f aca="false">Q5*100</f>
        <v>34.9999999999999</v>
      </c>
      <c r="W5" s="73" t="n">
        <v>0.0104166666666667</v>
      </c>
      <c r="X5" s="0" t="n">
        <v>2</v>
      </c>
      <c r="Y5" s="0" t="n">
        <v>100</v>
      </c>
      <c r="Z5" s="73" t="n">
        <v>0.416666666666667</v>
      </c>
      <c r="AD5" s="74"/>
    </row>
    <row r="6" customFormat="false" ht="15" hidden="false" customHeight="false" outlineLevel="0" collapsed="false">
      <c r="A6" s="68" t="n">
        <v>44630</v>
      </c>
      <c r="B6" s="69" t="n">
        <v>3</v>
      </c>
      <c r="C6" s="70" t="n">
        <v>24</v>
      </c>
      <c r="D6" s="11" t="n">
        <v>25</v>
      </c>
      <c r="E6" s="11" t="n">
        <v>0</v>
      </c>
      <c r="F6" s="11" t="n">
        <v>10</v>
      </c>
      <c r="G6" s="71" t="n">
        <f aca="false">(E6/0.6)/100</f>
        <v>0</v>
      </c>
      <c r="H6" s="71" t="n">
        <f aca="false">(F6/0.6)/100</f>
        <v>0.166666666666667</v>
      </c>
      <c r="I6" s="71" t="n">
        <f aca="false">D6+G6+H6</f>
        <v>25.1666666666667</v>
      </c>
      <c r="J6" s="71" t="n">
        <f aca="false">C6-I6</f>
        <v>-1.16666666666667</v>
      </c>
      <c r="K6" s="11" t="n">
        <v>8</v>
      </c>
      <c r="L6" s="11" t="n">
        <v>50</v>
      </c>
      <c r="M6" s="71" t="n">
        <f aca="false">(L6/0.6)/100</f>
        <v>0.833333333333334</v>
      </c>
      <c r="N6" s="71" t="n">
        <f aca="false">K6+M6</f>
        <v>8.83333333333333</v>
      </c>
      <c r="O6" s="71" t="n">
        <f aca="false">N6+J6</f>
        <v>7.66666666666667</v>
      </c>
      <c r="P6" s="71" t="n">
        <f aca="false">ROUNDDOWN(O6,0)</f>
        <v>7</v>
      </c>
      <c r="Q6" s="71" t="n">
        <f aca="false">(O6-P6)*0.6</f>
        <v>0.4</v>
      </c>
      <c r="R6" s="11" t="n">
        <v>4</v>
      </c>
      <c r="S6" s="71" t="n">
        <f aca="false">IF(R6&gt;0,R6-1,"")</f>
        <v>3</v>
      </c>
      <c r="T6" s="72" t="n">
        <f aca="false">P6</f>
        <v>7</v>
      </c>
      <c r="U6" s="72" t="n">
        <f aca="false">Q6*100</f>
        <v>40</v>
      </c>
      <c r="W6" s="73" t="n">
        <v>0.0208333333333333</v>
      </c>
      <c r="X6" s="0" t="n">
        <v>1</v>
      </c>
      <c r="Y6" s="0" t="n">
        <v>10</v>
      </c>
      <c r="Z6" s="73" t="n">
        <v>0.375</v>
      </c>
      <c r="AD6" s="74"/>
    </row>
    <row r="7" customFormat="false" ht="15" hidden="false" customHeight="false" outlineLevel="0" collapsed="false">
      <c r="A7" s="68" t="n">
        <v>44631</v>
      </c>
      <c r="B7" s="69" t="n">
        <v>4</v>
      </c>
      <c r="C7" s="70" t="n">
        <v>24</v>
      </c>
      <c r="D7" s="11" t="n">
        <v>26</v>
      </c>
      <c r="E7" s="11" t="n">
        <v>0</v>
      </c>
      <c r="F7" s="11"/>
      <c r="G7" s="71" t="n">
        <f aca="false">(E7/0.6)/100</f>
        <v>0</v>
      </c>
      <c r="H7" s="71" t="n">
        <f aca="false">(F7/0.6)/100</f>
        <v>0</v>
      </c>
      <c r="I7" s="71" t="n">
        <f aca="false">D7+G7+H7</f>
        <v>26</v>
      </c>
      <c r="J7" s="71" t="n">
        <f aca="false">C7-I7</f>
        <v>-2</v>
      </c>
      <c r="K7" s="11" t="n">
        <v>9</v>
      </c>
      <c r="L7" s="11" t="n">
        <v>0</v>
      </c>
      <c r="M7" s="71" t="n">
        <f aca="false">(L7/0.6)/100</f>
        <v>0</v>
      </c>
      <c r="N7" s="71" t="n">
        <f aca="false">K7+M7</f>
        <v>9</v>
      </c>
      <c r="O7" s="71" t="n">
        <f aca="false">N7+J7</f>
        <v>7</v>
      </c>
      <c r="P7" s="71" t="n">
        <f aca="false">ROUNDDOWN(O7,0)</f>
        <v>7</v>
      </c>
      <c r="Q7" s="71" t="n">
        <f aca="false">(O7-P7)*0.6</f>
        <v>0</v>
      </c>
      <c r="R7" s="11" t="n">
        <v>5</v>
      </c>
      <c r="S7" s="71" t="n">
        <f aca="false">IF(R7&gt;0,R7-1,"")</f>
        <v>4</v>
      </c>
      <c r="T7" s="72" t="n">
        <f aca="false">P7</f>
        <v>7</v>
      </c>
      <c r="U7" s="72" t="n">
        <f aca="false">Q7*100</f>
        <v>0</v>
      </c>
      <c r="W7" s="73" t="n">
        <v>0.0208333333333333</v>
      </c>
      <c r="X7" s="0" t="n">
        <v>0</v>
      </c>
      <c r="Y7" s="0" t="n">
        <v>0</v>
      </c>
      <c r="Z7" s="73" t="n">
        <v>0.402777777777778</v>
      </c>
    </row>
    <row r="8" customFormat="false" ht="16.4" hidden="false" customHeight="false" outlineLevel="0" collapsed="false">
      <c r="A8" s="68" t="n">
        <v>44632</v>
      </c>
      <c r="B8" s="69" t="n">
        <v>5</v>
      </c>
      <c r="C8" s="70" t="n">
        <v>24</v>
      </c>
      <c r="D8" s="11" t="n">
        <v>26</v>
      </c>
      <c r="E8" s="11" t="n">
        <v>30</v>
      </c>
      <c r="F8" s="11" t="n">
        <v>10</v>
      </c>
      <c r="G8" s="71" t="n">
        <f aca="false">(E8/0.6)/100</f>
        <v>0.5</v>
      </c>
      <c r="H8" s="71" t="n">
        <f aca="false">(F8/0.6)/100</f>
        <v>0.166666666666667</v>
      </c>
      <c r="I8" s="71" t="n">
        <f aca="false">D8+G8+H8</f>
        <v>26.6666666666667</v>
      </c>
      <c r="J8" s="71" t="n">
        <f aca="false">C8-I8</f>
        <v>-2.66666666666667</v>
      </c>
      <c r="K8" s="11" t="n">
        <v>9</v>
      </c>
      <c r="L8" s="11" t="n">
        <v>0</v>
      </c>
      <c r="M8" s="71" t="n">
        <f aca="false">(L8/0.6)/100</f>
        <v>0</v>
      </c>
      <c r="N8" s="71" t="n">
        <f aca="false">K8+M8</f>
        <v>9</v>
      </c>
      <c r="O8" s="71" t="n">
        <f aca="false">N8+J8</f>
        <v>6.33333333333333</v>
      </c>
      <c r="P8" s="71" t="n">
        <f aca="false">ROUNDDOWN(O8,0)</f>
        <v>6</v>
      </c>
      <c r="Q8" s="71" t="n">
        <f aca="false">(O8-P8)*0.6</f>
        <v>0.199999999999999</v>
      </c>
      <c r="R8" s="11" t="n">
        <v>4</v>
      </c>
      <c r="S8" s="71" t="n">
        <f aca="false">IF(R8&gt;0,R8-1,"")</f>
        <v>3</v>
      </c>
      <c r="T8" s="72" t="n">
        <f aca="false">P8</f>
        <v>6</v>
      </c>
      <c r="U8" s="72" t="n">
        <f aca="false">Q8*100</f>
        <v>19.9999999999999</v>
      </c>
      <c r="W8" s="73" t="n">
        <v>0.0208333333333333</v>
      </c>
      <c r="X8" s="0" t="n">
        <v>2</v>
      </c>
      <c r="Y8" s="0" t="n">
        <v>10</v>
      </c>
      <c r="Z8" s="73" t="n">
        <v>0.395833333333333</v>
      </c>
      <c r="AC8" s="75" t="str">
        <f aca="false">IF(B1=1,"LSD","")</f>
        <v>LSD</v>
      </c>
      <c r="AD8" s="75" t="str">
        <f aca="false">IF(B1=1,"Time Slept","")</f>
        <v>Time Slept</v>
      </c>
      <c r="AE8" s="75" t="str">
        <f aca="false">IF(B1=1,"Sleep Quality","")</f>
        <v>Sleep Quality</v>
      </c>
      <c r="AF8" s="76" t="str">
        <f aca="false">IF(B1=1,"Missing day(s)","")</f>
        <v>Missing day(s)</v>
      </c>
    </row>
    <row r="9" customFormat="false" ht="16.4" hidden="false" customHeight="false" outlineLevel="0" collapsed="false">
      <c r="A9" s="68" t="n">
        <v>44633</v>
      </c>
      <c r="B9" s="69" t="n">
        <v>6</v>
      </c>
      <c r="C9" s="70" t="n">
        <v>24</v>
      </c>
      <c r="D9" s="11" t="n">
        <v>27</v>
      </c>
      <c r="E9" s="11" t="n">
        <v>0</v>
      </c>
      <c r="F9" s="11" t="n">
        <v>30</v>
      </c>
      <c r="G9" s="71" t="n">
        <f aca="false">(E9/0.6)/100</f>
        <v>0</v>
      </c>
      <c r="H9" s="71" t="n">
        <f aca="false">(F9/0.6)/100</f>
        <v>0.5</v>
      </c>
      <c r="I9" s="71" t="n">
        <f aca="false">D9+G9+H9</f>
        <v>27.5</v>
      </c>
      <c r="J9" s="71" t="n">
        <f aca="false">C9-I9</f>
        <v>-3.5</v>
      </c>
      <c r="K9" s="11" t="n">
        <v>9</v>
      </c>
      <c r="L9" s="11" t="n">
        <v>0</v>
      </c>
      <c r="M9" s="71" t="n">
        <f aca="false">(L9/0.6)/100</f>
        <v>0</v>
      </c>
      <c r="N9" s="71" t="n">
        <f aca="false">K9+M9</f>
        <v>9</v>
      </c>
      <c r="O9" s="71" t="n">
        <f aca="false">N9+J9</f>
        <v>5.5</v>
      </c>
      <c r="P9" s="71" t="n">
        <f aca="false">ROUNDDOWN(O9,0)</f>
        <v>5</v>
      </c>
      <c r="Q9" s="71" t="n">
        <f aca="false">(O9-P9)*0.6</f>
        <v>0.3</v>
      </c>
      <c r="R9" s="11" t="n">
        <v>3</v>
      </c>
      <c r="S9" s="71" t="n">
        <f aca="false">IF(R9&gt;0,R9-1,"")</f>
        <v>2</v>
      </c>
      <c r="T9" s="72" t="n">
        <f aca="false">P9</f>
        <v>5</v>
      </c>
      <c r="U9" s="72" t="n">
        <f aca="false">Q9*100</f>
        <v>30</v>
      </c>
      <c r="W9" s="73" t="n">
        <v>0.0208333333333333</v>
      </c>
      <c r="X9" s="0" t="n">
        <v>2</v>
      </c>
      <c r="Y9" s="0" t="n">
        <v>15</v>
      </c>
      <c r="Z9" s="73" t="n">
        <v>0.5</v>
      </c>
      <c r="AC9" s="75" t="str">
        <f aca="false">IF(B1=1,"DP_NS_AVG","")</f>
        <v>DP_NS_AVG</v>
      </c>
      <c r="AD9" s="74" t="n">
        <f aca="false">IF(B1=1,SUM(O8:O14)/(COUNT(O8:O14)),"")</f>
        <v>6.92857142857143</v>
      </c>
      <c r="AE9" s="74" t="n">
        <f aca="false">IF(B1=1,SUM(S8:S14)/COUNT(S8:S14),"")</f>
        <v>3</v>
      </c>
      <c r="AF9" s="0" t="str">
        <f aca="false">IF(B1=1,IF(COUNT(S8:S14)&lt;7,7-COUNT(S8:S14),""),"")</f>
        <v/>
      </c>
    </row>
    <row r="10" customFormat="false" ht="16.4" hidden="false" customHeight="false" outlineLevel="0" collapsed="false">
      <c r="A10" s="68" t="n">
        <v>44634</v>
      </c>
      <c r="B10" s="69" t="n">
        <v>7</v>
      </c>
      <c r="C10" s="70" t="n">
        <v>24</v>
      </c>
      <c r="D10" s="11" t="n">
        <v>25</v>
      </c>
      <c r="E10" s="11" t="n">
        <v>10</v>
      </c>
      <c r="F10" s="11" t="n">
        <v>10</v>
      </c>
      <c r="G10" s="71" t="n">
        <f aca="false">(E10/0.6)/100</f>
        <v>0.166666666666667</v>
      </c>
      <c r="H10" s="71" t="n">
        <f aca="false">(F10/0.6)/100</f>
        <v>0.166666666666667</v>
      </c>
      <c r="I10" s="71" t="n">
        <f aca="false">D10+G10+H10</f>
        <v>25.3333333333333</v>
      </c>
      <c r="J10" s="71" t="n">
        <f aca="false">C10-I10</f>
        <v>-1.33333333333334</v>
      </c>
      <c r="K10" s="11" t="n">
        <v>9</v>
      </c>
      <c r="L10" s="11" t="n">
        <v>0</v>
      </c>
      <c r="M10" s="71" t="n">
        <f aca="false">(L10/0.6)/100</f>
        <v>0</v>
      </c>
      <c r="N10" s="71" t="n">
        <f aca="false">K10+M10</f>
        <v>9</v>
      </c>
      <c r="O10" s="71" t="n">
        <f aca="false">N10+J10</f>
        <v>7.66666666666666</v>
      </c>
      <c r="P10" s="71" t="n">
        <f aca="false">ROUNDDOWN(O10,0)</f>
        <v>7</v>
      </c>
      <c r="Q10" s="71" t="n">
        <f aca="false">(O10-P10)*0.6</f>
        <v>0.399999999999999</v>
      </c>
      <c r="R10" s="11" t="n">
        <v>4</v>
      </c>
      <c r="S10" s="71" t="n">
        <f aca="false">IF(R10&gt;0,R10-1,"")</f>
        <v>3</v>
      </c>
      <c r="T10" s="72" t="n">
        <f aca="false">P10</f>
        <v>7</v>
      </c>
      <c r="U10" s="72" t="n">
        <f aca="false">Q10*100</f>
        <v>39.9999999999999</v>
      </c>
      <c r="W10" s="73" t="n">
        <v>0.0138888888888889</v>
      </c>
      <c r="X10" s="0" t="n">
        <v>0</v>
      </c>
      <c r="Y10" s="0" t="n">
        <v>0</v>
      </c>
      <c r="Z10" s="73" t="n">
        <v>0.381944444444444</v>
      </c>
      <c r="AC10" s="75" t="str">
        <f aca="false">IF(B1=1,"DP_P_AVG","")</f>
        <v>DP_P_AVG</v>
      </c>
      <c r="AD10" s="74" t="n">
        <f aca="false">IF(B1=1,SUM(O15:O17)/(COUNT(O15:O17)),"")</f>
        <v>5.69444444444445</v>
      </c>
      <c r="AE10" s="74" t="n">
        <f aca="false">IF(B1=1,SUM(S15:S17)/COUNT(S15:S17),"")</f>
        <v>1</v>
      </c>
      <c r="AF10" s="0" t="str">
        <f aca="false">IF(B1=1,IF(COUNT(S15:S17)&lt;3,3-COUNT(S15:S17),""),"")</f>
        <v/>
      </c>
    </row>
    <row r="11" customFormat="false" ht="16.4" hidden="false" customHeight="false" outlineLevel="0" collapsed="false">
      <c r="A11" s="68" t="n">
        <v>44635</v>
      </c>
      <c r="B11" s="69" t="n">
        <v>8</v>
      </c>
      <c r="C11" s="63" t="n">
        <v>24</v>
      </c>
      <c r="D11" s="11" t="n">
        <v>25</v>
      </c>
      <c r="E11" s="11" t="n">
        <v>10</v>
      </c>
      <c r="F11" s="11" t="n">
        <v>15</v>
      </c>
      <c r="G11" s="71" t="n">
        <f aca="false">(E11/0.6)/100</f>
        <v>0.166666666666667</v>
      </c>
      <c r="H11" s="71" t="n">
        <f aca="false">(F11/0.6)/100</f>
        <v>0.25</v>
      </c>
      <c r="I11" s="71" t="n">
        <f aca="false">D11+G11+H11</f>
        <v>25.4166666666667</v>
      </c>
      <c r="J11" s="71" t="n">
        <f aca="false">C11-I11</f>
        <v>-1.41666666666667</v>
      </c>
      <c r="K11" s="11" t="n">
        <v>9</v>
      </c>
      <c r="L11" s="11" t="n">
        <v>0</v>
      </c>
      <c r="M11" s="71" t="n">
        <f aca="false">(L11/0.6)/100</f>
        <v>0</v>
      </c>
      <c r="N11" s="71" t="n">
        <f aca="false">K11+M11</f>
        <v>9</v>
      </c>
      <c r="O11" s="71" t="n">
        <f aca="false">N11+J11</f>
        <v>7.58333333333333</v>
      </c>
      <c r="P11" s="71" t="n">
        <f aca="false">ROUNDDOWN(O11,0)</f>
        <v>7</v>
      </c>
      <c r="Q11" s="71" t="n">
        <f aca="false">(O11-P11)*0.6</f>
        <v>0.349999999999999</v>
      </c>
      <c r="R11" s="11" t="n">
        <v>4</v>
      </c>
      <c r="S11" s="71" t="n">
        <f aca="false">IF(R11&gt;0,R11-1,"")</f>
        <v>3</v>
      </c>
      <c r="T11" s="72" t="n">
        <f aca="false">P11</f>
        <v>7</v>
      </c>
      <c r="U11" s="72" t="n">
        <f aca="false">Q11*100</f>
        <v>34.9999999999999</v>
      </c>
      <c r="W11" s="73" t="n">
        <v>0.0208333333333333</v>
      </c>
      <c r="X11" s="0" t="n">
        <v>1</v>
      </c>
      <c r="Y11" s="0" t="n">
        <v>10</v>
      </c>
      <c r="Z11" s="73" t="n">
        <v>0.416666666666667</v>
      </c>
      <c r="AC11" s="75" t="str">
        <f aca="false">IF(B1=1,"NS_AVG","")</f>
        <v>NS_AVG</v>
      </c>
      <c r="AD11" s="74" t="n">
        <f aca="false">IF(B1=1,SUM(O4:O10)/(COUNT(O4:O10)),"")</f>
        <v>7.10714285714286</v>
      </c>
      <c r="AE11" s="74" t="n">
        <f aca="false">IF(B1=1,SUM(S4:S10)/COUNT(S4:S10),"")</f>
        <v>2.42857142857143</v>
      </c>
      <c r="AF11" s="0" t="str">
        <f aca="false">IF(B1=1,IF(COUNT(S4:S10)&lt;7,7-COUNT(S4:S10),""),"")</f>
        <v/>
      </c>
    </row>
    <row r="12" customFormat="false" ht="15" hidden="false" customHeight="false" outlineLevel="0" collapsed="false">
      <c r="A12" s="68" t="n">
        <v>44636</v>
      </c>
      <c r="B12" s="69" t="n">
        <v>9</v>
      </c>
      <c r="C12" s="63" t="n">
        <v>24</v>
      </c>
      <c r="D12" s="11" t="n">
        <v>25</v>
      </c>
      <c r="E12" s="11" t="n">
        <v>30</v>
      </c>
      <c r="F12" s="11" t="n">
        <v>15</v>
      </c>
      <c r="G12" s="71" t="n">
        <f aca="false">(E12/0.6)/100</f>
        <v>0.5</v>
      </c>
      <c r="H12" s="71" t="n">
        <f aca="false">(F12/0.6)/100</f>
        <v>0.25</v>
      </c>
      <c r="I12" s="71" t="n">
        <f aca="false">D12+G12+H12</f>
        <v>25.75</v>
      </c>
      <c r="J12" s="71" t="n">
        <f aca="false">C12-I12</f>
        <v>-1.75</v>
      </c>
      <c r="K12" s="11" t="n">
        <v>9</v>
      </c>
      <c r="L12" s="11" t="n">
        <v>0</v>
      </c>
      <c r="M12" s="71" t="n">
        <f aca="false">(L12/0.6)/100</f>
        <v>0</v>
      </c>
      <c r="N12" s="71" t="n">
        <f aca="false">K12+M12</f>
        <v>9</v>
      </c>
      <c r="O12" s="71" t="n">
        <f aca="false">N12+J12</f>
        <v>7.25</v>
      </c>
      <c r="P12" s="71" t="n">
        <f aca="false">ROUNDDOWN(O12,0)</f>
        <v>7</v>
      </c>
      <c r="Q12" s="71" t="n">
        <f aca="false">(O12-P12)*0.6</f>
        <v>0.15</v>
      </c>
      <c r="R12" s="11" t="n">
        <v>4</v>
      </c>
      <c r="S12" s="71" t="n">
        <f aca="false">IF(R12&gt;0,R12-1,"")</f>
        <v>3</v>
      </c>
      <c r="T12" s="72" t="n">
        <f aca="false">P12</f>
        <v>7</v>
      </c>
      <c r="U12" s="72" t="n">
        <f aca="false">Q12*100</f>
        <v>15</v>
      </c>
      <c r="W12" s="73" t="n">
        <v>0</v>
      </c>
      <c r="X12" s="0" t="n">
        <v>0</v>
      </c>
      <c r="Y12" s="0" t="n">
        <v>0</v>
      </c>
      <c r="Z12" s="73" t="n">
        <v>0.375</v>
      </c>
      <c r="AC12" s="0" t="str">
        <f aca="false">IF(B1=0,"ESD","")</f>
        <v/>
      </c>
      <c r="AD12" s="0" t="str">
        <f aca="false">IF(B1=0,"Time Slept","")</f>
        <v/>
      </c>
      <c r="AE12" s="0" t="str">
        <f aca="false">IF(B1=0,"Sleep Quality","")</f>
        <v/>
      </c>
      <c r="AF12" s="77" t="str">
        <f aca="false">IF(B1=0,"Missing day(s)","")</f>
        <v/>
      </c>
    </row>
    <row r="13" customFormat="false" ht="15" hidden="false" customHeight="false" outlineLevel="0" collapsed="false">
      <c r="A13" s="68" t="n">
        <v>44637</v>
      </c>
      <c r="B13" s="69" t="n">
        <v>10</v>
      </c>
      <c r="C13" s="63" t="n">
        <v>24</v>
      </c>
      <c r="D13" s="11" t="n">
        <v>25</v>
      </c>
      <c r="E13" s="11" t="n">
        <v>10</v>
      </c>
      <c r="F13" s="11" t="n">
        <v>30</v>
      </c>
      <c r="G13" s="71" t="n">
        <f aca="false">(E13/0.6)/100</f>
        <v>0.166666666666667</v>
      </c>
      <c r="H13" s="71" t="n">
        <f aca="false">(F13/0.6)/100</f>
        <v>0.5</v>
      </c>
      <c r="I13" s="71" t="n">
        <f aca="false">D13+G13+H13</f>
        <v>25.6666666666667</v>
      </c>
      <c r="J13" s="71" t="n">
        <f aca="false">C13-I13</f>
        <v>-1.66666666666667</v>
      </c>
      <c r="K13" s="11" t="n">
        <v>9</v>
      </c>
      <c r="L13" s="11" t="n">
        <v>0</v>
      </c>
      <c r="M13" s="71" t="n">
        <f aca="false">(L13/0.6)/100</f>
        <v>0</v>
      </c>
      <c r="N13" s="71" t="n">
        <f aca="false">K13+M13</f>
        <v>9</v>
      </c>
      <c r="O13" s="71" t="n">
        <f aca="false">N13+J13</f>
        <v>7.33333333333333</v>
      </c>
      <c r="P13" s="71" t="n">
        <f aca="false">ROUNDDOWN(O13,0)</f>
        <v>7</v>
      </c>
      <c r="Q13" s="71" t="n">
        <f aca="false">(O13-P13)*0.6</f>
        <v>0.199999999999999</v>
      </c>
      <c r="R13" s="11" t="n">
        <v>5</v>
      </c>
      <c r="S13" s="71" t="n">
        <f aca="false">IF(R13&gt;0,R13-1,"")</f>
        <v>4</v>
      </c>
      <c r="T13" s="72" t="n">
        <f aca="false">P13</f>
        <v>7</v>
      </c>
      <c r="U13" s="72" t="n">
        <f aca="false">Q13*100</f>
        <v>19.9999999999999</v>
      </c>
      <c r="W13" s="73" t="n">
        <v>0.0208333333333333</v>
      </c>
      <c r="X13" s="0" t="n">
        <v>0</v>
      </c>
      <c r="Y13" s="0" t="n">
        <v>0</v>
      </c>
      <c r="Z13" s="73" t="n">
        <v>0.375</v>
      </c>
      <c r="AC13" s="0" t="str">
        <f aca="false">IF(B1=0,"PD_NS_AVG","")</f>
        <v/>
      </c>
      <c r="AD13" s="0" t="str">
        <f aca="false">IF(B1=0,SUM(O4:O10)/COUNT(O4:O10),"")</f>
        <v/>
      </c>
      <c r="AE13" s="0" t="str">
        <f aca="false">IF(B1=0,SUM(S4:S10)/COUNT(S4:S10),"")</f>
        <v/>
      </c>
      <c r="AF13" s="0" t="str">
        <f aca="false">IF(B$1=0,IF(COUNT(S4:S10)&lt;7,7-COUNT(S4:S10),""),"")</f>
        <v/>
      </c>
    </row>
    <row r="14" customFormat="false" ht="15" hidden="false" customHeight="false" outlineLevel="0" collapsed="false">
      <c r="A14" s="68" t="n">
        <v>44638</v>
      </c>
      <c r="B14" s="69" t="n">
        <v>11</v>
      </c>
      <c r="C14" s="63" t="n">
        <v>24</v>
      </c>
      <c r="D14" s="11" t="n">
        <v>26</v>
      </c>
      <c r="E14" s="11" t="n">
        <v>0</v>
      </c>
      <c r="F14" s="11" t="n">
        <v>10</v>
      </c>
      <c r="G14" s="71" t="n">
        <f aca="false">(E14/0.6)/100</f>
        <v>0</v>
      </c>
      <c r="H14" s="71" t="n">
        <f aca="false">(F14/0.6)/100</f>
        <v>0.166666666666667</v>
      </c>
      <c r="I14" s="71" t="n">
        <f aca="false">D14+G14+H14</f>
        <v>26.1666666666667</v>
      </c>
      <c r="J14" s="71" t="n">
        <f aca="false">C14-I14</f>
        <v>-2.16666666666667</v>
      </c>
      <c r="K14" s="11" t="n">
        <v>9</v>
      </c>
      <c r="L14" s="11" t="n">
        <v>0</v>
      </c>
      <c r="M14" s="71" t="n">
        <f aca="false">(L14/0.6)/100</f>
        <v>0</v>
      </c>
      <c r="N14" s="71" t="n">
        <f aca="false">K14+M14</f>
        <v>9</v>
      </c>
      <c r="O14" s="71" t="n">
        <f aca="false">N14+J14</f>
        <v>6.83333333333333</v>
      </c>
      <c r="P14" s="71" t="n">
        <f aca="false">ROUNDDOWN(O14,0)</f>
        <v>6</v>
      </c>
      <c r="Q14" s="71" t="n">
        <f aca="false">(O14-P14)*0.6</f>
        <v>0.499999999999999</v>
      </c>
      <c r="R14" s="11" t="n">
        <v>4</v>
      </c>
      <c r="S14" s="71" t="n">
        <f aca="false">IF(R14&gt;0,R14-1,"")</f>
        <v>3</v>
      </c>
      <c r="T14" s="72" t="n">
        <f aca="false">P14</f>
        <v>6</v>
      </c>
      <c r="U14" s="72" t="n">
        <f aca="false">Q14*100</f>
        <v>49.9999999999999</v>
      </c>
      <c r="W14" s="73" t="n">
        <v>0.0208333333333333</v>
      </c>
      <c r="X14" s="0" t="n">
        <v>0</v>
      </c>
      <c r="Y14" s="0" t="n">
        <v>0</v>
      </c>
      <c r="Z14" s="73" t="n">
        <v>0.381944444444444</v>
      </c>
      <c r="AC14" s="0" t="str">
        <f aca="false">IF(B1=0,"DP_PSD_AVG","")</f>
        <v/>
      </c>
      <c r="AD14" s="0" t="str">
        <f aca="false">IF(B1=0,SUM(O11:O13)/(COUNT(O11:O13)),"")</f>
        <v/>
      </c>
      <c r="AE14" s="0" t="str">
        <f aca="false">IF(B1=0,SUM(S11:S13)/COUNT(S11:S13),"")</f>
        <v/>
      </c>
      <c r="AF14" s="0" t="str">
        <f aca="false">IF(B$1=0,IF(COUNT(S11:S13)&lt;3,3-COUNT(S11:S13),""),"")</f>
        <v/>
      </c>
    </row>
    <row r="15" customFormat="false" ht="15" hidden="false" customHeight="false" outlineLevel="0" collapsed="false">
      <c r="A15" s="68" t="n">
        <v>44639</v>
      </c>
      <c r="B15" s="69" t="n">
        <v>12</v>
      </c>
      <c r="C15" s="63" t="n">
        <v>24</v>
      </c>
      <c r="D15" s="11" t="n">
        <v>27</v>
      </c>
      <c r="E15" s="11" t="n">
        <v>0</v>
      </c>
      <c r="F15" s="11" t="n">
        <v>5</v>
      </c>
      <c r="G15" s="71" t="n">
        <f aca="false">(E15/0.6)/100</f>
        <v>0</v>
      </c>
      <c r="H15" s="71" t="n">
        <f aca="false">(F15/0.6)/100</f>
        <v>0.0833333333333333</v>
      </c>
      <c r="I15" s="71" t="n">
        <f aca="false">D15+G15+H15</f>
        <v>27.0833333333333</v>
      </c>
      <c r="J15" s="71" t="n">
        <f aca="false">C15-I15</f>
        <v>-3.08333333333333</v>
      </c>
      <c r="K15" s="11" t="n">
        <v>9</v>
      </c>
      <c r="L15" s="11" t="n">
        <v>0</v>
      </c>
      <c r="M15" s="71" t="n">
        <f aca="false">(L15/0.6)/100</f>
        <v>0</v>
      </c>
      <c r="N15" s="71" t="n">
        <f aca="false">K15+M15</f>
        <v>9</v>
      </c>
      <c r="O15" s="71" t="n">
        <f aca="false">N15+J15</f>
        <v>5.91666666666667</v>
      </c>
      <c r="P15" s="71" t="n">
        <f aca="false">ROUNDDOWN(O15,0)</f>
        <v>5</v>
      </c>
      <c r="Q15" s="71" t="n">
        <f aca="false">(O15-P15)*0.6</f>
        <v>0.550000000000001</v>
      </c>
      <c r="R15" s="11" t="n">
        <v>2</v>
      </c>
      <c r="S15" s="71" t="n">
        <f aca="false">IF(R15&gt;0,R15-1,"")</f>
        <v>1</v>
      </c>
      <c r="T15" s="72" t="n">
        <f aca="false">P15</f>
        <v>5</v>
      </c>
      <c r="U15" s="72" t="n">
        <f aca="false">Q15*100</f>
        <v>55.0000000000001</v>
      </c>
      <c r="W15" s="73" t="n">
        <v>0.0833333333333333</v>
      </c>
      <c r="X15" s="0" t="n">
        <v>0</v>
      </c>
      <c r="Y15" s="0" t="n">
        <v>0</v>
      </c>
      <c r="Z15" s="73" t="n">
        <v>0.416666666666667</v>
      </c>
      <c r="AC15" s="0" t="str">
        <f aca="false">IF(B1=0,"NS_AVG","")</f>
        <v/>
      </c>
      <c r="AD15" s="0" t="str">
        <f aca="false">IF(B1=0,SUM(O14:O20)/(COUNT(O14:O20)),"")</f>
        <v/>
      </c>
      <c r="AE15" s="0" t="str">
        <f aca="false">IF(B1=0,SUM(S14:S20)/COUNT(S14:S20),"")</f>
        <v/>
      </c>
      <c r="AF15" s="0" t="str">
        <f aca="false">IF(B$1=0,IF(COUNT(S14:S20)&lt;7,7-COUNT(S14:S20),""),"")</f>
        <v/>
      </c>
    </row>
    <row r="16" customFormat="false" ht="15" hidden="false" customHeight="false" outlineLevel="0" collapsed="false">
      <c r="A16" s="68" t="n">
        <v>44640</v>
      </c>
      <c r="B16" s="69" t="n">
        <v>13</v>
      </c>
      <c r="C16" s="63" t="n">
        <v>24</v>
      </c>
      <c r="D16" s="11" t="n">
        <v>28</v>
      </c>
      <c r="E16" s="11" t="n">
        <v>0</v>
      </c>
      <c r="F16" s="11" t="n">
        <v>15</v>
      </c>
      <c r="G16" s="71" t="n">
        <f aca="false">(E16/0.6)/100</f>
        <v>0</v>
      </c>
      <c r="H16" s="71" t="n">
        <f aca="false">(F16/0.6)/100</f>
        <v>0.25</v>
      </c>
      <c r="I16" s="71" t="n">
        <f aca="false">D16+G16+H16</f>
        <v>28.25</v>
      </c>
      <c r="J16" s="71" t="n">
        <f aca="false">C16-I16</f>
        <v>-4.25</v>
      </c>
      <c r="K16" s="11" t="n">
        <v>10</v>
      </c>
      <c r="L16" s="11" t="n">
        <v>0</v>
      </c>
      <c r="M16" s="71" t="n">
        <f aca="false">(L16/0.6)/100</f>
        <v>0</v>
      </c>
      <c r="N16" s="71" t="n">
        <f aca="false">K16+M16</f>
        <v>10</v>
      </c>
      <c r="O16" s="71" t="n">
        <f aca="false">N16+J16</f>
        <v>5.75</v>
      </c>
      <c r="P16" s="71" t="n">
        <f aca="false">ROUNDDOWN(O16,0)</f>
        <v>5</v>
      </c>
      <c r="Q16" s="71" t="n">
        <f aca="false">(O16-P16)*0.6</f>
        <v>0.45</v>
      </c>
      <c r="R16" s="11" t="n">
        <v>2</v>
      </c>
      <c r="S16" s="71" t="n">
        <f aca="false">IF(R16&gt;0,R16-1,"")</f>
        <v>1</v>
      </c>
      <c r="T16" s="72" t="n">
        <f aca="false">P16</f>
        <v>5</v>
      </c>
      <c r="U16" s="72" t="n">
        <f aca="false">Q16*100</f>
        <v>45</v>
      </c>
      <c r="W16" s="73" t="n">
        <v>0.145833333333333</v>
      </c>
      <c r="X16" s="0" t="n">
        <v>2</v>
      </c>
      <c r="Y16" s="0" t="n">
        <v>15</v>
      </c>
      <c r="Z16" s="73" t="n">
        <v>0.416666666666667</v>
      </c>
      <c r="AC16" s="78" t="s">
        <v>254</v>
      </c>
      <c r="AD16" s="79" t="n">
        <f aca="false" t="array" ref="AD16:AD16">_xlfn.IFS(B1=0,AD13-AD14,B1=1,AD9-AD10)</f>
        <v>1.23412698412698</v>
      </c>
      <c r="AE16" s="80" t="s">
        <v>255</v>
      </c>
      <c r="AF16" s="79" t="n">
        <f aca="false" t="array" ref="AF16:AF16">_xlfn.IFS(B1=0,AD15-AD14,B1=1,AD11-AD10)</f>
        <v>1.41269841269841</v>
      </c>
      <c r="AG16" s="81" t="s">
        <v>256</v>
      </c>
    </row>
    <row r="17" customFormat="false" ht="15" hidden="false" customHeight="false" outlineLevel="0" collapsed="false">
      <c r="A17" s="68" t="n">
        <v>44641</v>
      </c>
      <c r="B17" s="69" t="n">
        <v>14</v>
      </c>
      <c r="C17" s="63" t="n">
        <v>24</v>
      </c>
      <c r="D17" s="11" t="n">
        <v>27</v>
      </c>
      <c r="E17" s="11" t="n">
        <v>30</v>
      </c>
      <c r="F17" s="11" t="n">
        <v>5</v>
      </c>
      <c r="G17" s="71" t="n">
        <f aca="false">(E17/0.6)/100</f>
        <v>0.5</v>
      </c>
      <c r="H17" s="71" t="n">
        <f aca="false">(F17/0.6)/100</f>
        <v>0.0833333333333333</v>
      </c>
      <c r="I17" s="71" t="n">
        <f aca="false">D17+G17+H17</f>
        <v>27.5833333333333</v>
      </c>
      <c r="J17" s="71" t="n">
        <f aca="false">C17-I17</f>
        <v>-3.58333333333333</v>
      </c>
      <c r="K17" s="11" t="n">
        <v>9</v>
      </c>
      <c r="L17" s="11" t="n">
        <v>0</v>
      </c>
      <c r="M17" s="71" t="n">
        <f aca="false">(L17/0.6)/100</f>
        <v>0</v>
      </c>
      <c r="N17" s="71" t="n">
        <f aca="false">K17+M17</f>
        <v>9</v>
      </c>
      <c r="O17" s="71" t="n">
        <f aca="false">N17+J17</f>
        <v>5.41666666666667</v>
      </c>
      <c r="P17" s="71" t="n">
        <f aca="false">ROUNDDOWN(O17,0)</f>
        <v>5</v>
      </c>
      <c r="Q17" s="71" t="n">
        <f aca="false">(O17-P17)*0.6</f>
        <v>0.250000000000001</v>
      </c>
      <c r="R17" s="11" t="n">
        <v>2</v>
      </c>
      <c r="S17" s="71" t="n">
        <f aca="false">IF(R17&gt;0,R17-1,"")</f>
        <v>1</v>
      </c>
      <c r="T17" s="72" t="n">
        <f aca="false">P17</f>
        <v>5</v>
      </c>
      <c r="U17" s="72" t="n">
        <f aca="false">Q17*100</f>
        <v>25.0000000000001</v>
      </c>
      <c r="W17" s="73" t="n">
        <v>0.145833333333333</v>
      </c>
      <c r="X17" s="0" t="n">
        <v>0</v>
      </c>
      <c r="Y17" s="0" t="n">
        <v>0</v>
      </c>
      <c r="Z17" s="73" t="n">
        <v>0.416666666666667</v>
      </c>
      <c r="AD17" s="9" t="s">
        <v>257</v>
      </c>
    </row>
    <row r="18" customFormat="false" ht="15" hidden="false" customHeight="false" outlineLevel="0" collapsed="false">
      <c r="A18" s="69"/>
      <c r="B18" s="69" t="n">
        <v>15</v>
      </c>
      <c r="C18" s="63" t="n">
        <v>24</v>
      </c>
      <c r="D18" s="11"/>
      <c r="E18" s="11"/>
      <c r="F18" s="11"/>
      <c r="G18" s="71" t="n">
        <f aca="false">(E18/0.6)/100</f>
        <v>0</v>
      </c>
      <c r="H18" s="71" t="n">
        <f aca="false">(F18/0.6)/100</f>
        <v>0</v>
      </c>
      <c r="I18" s="71" t="n">
        <f aca="false">D18+G18+H18</f>
        <v>0</v>
      </c>
      <c r="J18" s="71" t="n">
        <f aca="false">C18-I18</f>
        <v>24</v>
      </c>
      <c r="K18" s="11"/>
      <c r="L18" s="11"/>
      <c r="M18" s="71" t="n">
        <f aca="false">(L18/0.6)/100</f>
        <v>0</v>
      </c>
      <c r="N18" s="71" t="n">
        <f aca="false">K18+M18</f>
        <v>0</v>
      </c>
      <c r="O18" s="71" t="n">
        <f aca="false">N18+J18</f>
        <v>24</v>
      </c>
      <c r="P18" s="71" t="n">
        <f aca="false">ROUNDDOWN(O18,0)</f>
        <v>24</v>
      </c>
      <c r="Q18" s="71" t="n">
        <f aca="false">(O18-P18)*0.6</f>
        <v>0</v>
      </c>
      <c r="R18" s="11"/>
      <c r="S18" s="71" t="str">
        <f aca="false">IF(R18&gt;0,R18-1,"")</f>
        <v/>
      </c>
      <c r="T18" s="72" t="n">
        <f aca="false">P18</f>
        <v>24</v>
      </c>
      <c r="U18" s="72" t="n">
        <f aca="false">Q18*100</f>
        <v>0</v>
      </c>
      <c r="AC18" s="9" t="s">
        <v>258</v>
      </c>
    </row>
    <row r="19" customFormat="false" ht="15" hidden="false" customHeight="false" outlineLevel="0" collapsed="false">
      <c r="A19" s="69"/>
      <c r="B19" s="69" t="n">
        <v>16</v>
      </c>
      <c r="C19" s="63" t="n">
        <v>24</v>
      </c>
      <c r="D19" s="11"/>
      <c r="E19" s="11"/>
      <c r="F19" s="11"/>
      <c r="G19" s="71" t="n">
        <f aca="false">(E19/0.6)/100</f>
        <v>0</v>
      </c>
      <c r="H19" s="71" t="n">
        <f aca="false">(F19/0.6)/100</f>
        <v>0</v>
      </c>
      <c r="I19" s="71" t="n">
        <f aca="false">D19+G19+H19</f>
        <v>0</v>
      </c>
      <c r="J19" s="71" t="n">
        <f aca="false">C19-I19</f>
        <v>24</v>
      </c>
      <c r="K19" s="11"/>
      <c r="L19" s="11"/>
      <c r="M19" s="71" t="n">
        <f aca="false">(L19/0.6)/100</f>
        <v>0</v>
      </c>
      <c r="N19" s="71" t="n">
        <f aca="false">K19+M19</f>
        <v>0</v>
      </c>
      <c r="O19" s="71" t="n">
        <f aca="false">N19+J19</f>
        <v>24</v>
      </c>
      <c r="P19" s="71" t="n">
        <f aca="false">ROUNDDOWN(O19,0)</f>
        <v>24</v>
      </c>
      <c r="Q19" s="71" t="n">
        <f aca="false">(O19-P19)*0.6</f>
        <v>0</v>
      </c>
      <c r="R19" s="11"/>
      <c r="S19" s="71" t="str">
        <f aca="false">IF(R19&gt;0,R19-1,"")</f>
        <v/>
      </c>
      <c r="T19" s="72" t="n">
        <f aca="false">P19</f>
        <v>24</v>
      </c>
      <c r="U19" s="72" t="n">
        <f aca="false">Q19*100</f>
        <v>0</v>
      </c>
    </row>
    <row r="20" customFormat="false" ht="15" hidden="false" customHeight="false" outlineLevel="0" collapsed="false">
      <c r="A20" s="69"/>
      <c r="B20" s="69" t="n">
        <v>17</v>
      </c>
      <c r="C20" s="63" t="n">
        <v>24</v>
      </c>
      <c r="D20" s="11"/>
      <c r="E20" s="11"/>
      <c r="F20" s="11"/>
      <c r="G20" s="71" t="n">
        <f aca="false">(E20/0.6)/100</f>
        <v>0</v>
      </c>
      <c r="H20" s="71" t="n">
        <f aca="false">(F20/0.6)/100</f>
        <v>0</v>
      </c>
      <c r="I20" s="71" t="n">
        <f aca="false">D20+G20+H20</f>
        <v>0</v>
      </c>
      <c r="J20" s="71" t="n">
        <f aca="false">C20-I20</f>
        <v>24</v>
      </c>
      <c r="K20" s="11"/>
      <c r="L20" s="11"/>
      <c r="M20" s="71" t="n">
        <f aca="false">(L20/0.6)/100</f>
        <v>0</v>
      </c>
      <c r="N20" s="71" t="n">
        <f aca="false">K20+M20</f>
        <v>0</v>
      </c>
      <c r="O20" s="71" t="n">
        <f aca="false">N20+J20</f>
        <v>24</v>
      </c>
      <c r="P20" s="71" t="n">
        <f aca="false">ROUNDDOWN(O20,0)</f>
        <v>24</v>
      </c>
      <c r="Q20" s="71" t="n">
        <f aca="false">(O20-P20)*0.6</f>
        <v>0</v>
      </c>
      <c r="R20" s="11"/>
      <c r="S20" s="71" t="str">
        <f aca="false">IF(R20&gt;0,R20-1,"")</f>
        <v/>
      </c>
      <c r="T20" s="72" t="n">
        <f aca="false">P20</f>
        <v>24</v>
      </c>
      <c r="U20" s="72" t="n">
        <f aca="false">Q20*100</f>
        <v>0</v>
      </c>
    </row>
    <row r="24" customFormat="false" ht="15" hidden="false" customHeight="false" outlineLevel="0" collapsed="false">
      <c r="R24" s="0" t="s">
        <v>259</v>
      </c>
    </row>
    <row r="26" customFormat="false" ht="16.4" hidden="false" customHeight="false" outlineLevel="0" collapsed="false">
      <c r="B26" s="0" t="s">
        <v>260</v>
      </c>
      <c r="K26" s="0" t="s">
        <v>261</v>
      </c>
    </row>
    <row r="27" customFormat="false" ht="16.4" hidden="false" customHeight="false" outlineLevel="0" collapsed="false">
      <c r="B27" s="0" t="s">
        <v>262</v>
      </c>
      <c r="K27" s="0" t="s">
        <v>263</v>
      </c>
    </row>
    <row r="28" customFormat="false" ht="15" hidden="false" customHeight="false" outlineLevel="0" collapsed="false">
      <c r="B28" s="0" t="s">
        <v>264</v>
      </c>
    </row>
    <row r="62" customFormat="false" ht="15" hidden="false" customHeight="false" outlineLevel="0" collapsed="false">
      <c r="B62" s="0" t="s">
        <v>265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AD13:AF15">
    <cfRule type="expression" priority="2" aboveAverage="0" equalAverage="0" bottom="0" percent="0" rank="0" text="" dxfId="0">
      <formula>LEN(TRIM(AD13))&gt;0</formula>
    </cfRule>
  </conditionalFormatting>
  <conditionalFormatting sqref="AD13:AE15">
    <cfRule type="expression" priority="3" aboveAverage="0" equalAverage="0" bottom="0" percent="0" rank="0" text="" dxfId="1">
      <formula>LEN(TRIM(AD13))&gt;0</formula>
    </cfRule>
  </conditionalFormatting>
  <conditionalFormatting sqref="AG13">
    <cfRule type="expression" priority="4" aboveAverage="0" equalAverage="0" bottom="0" percent="0" rank="0" text="" dxfId="2">
      <formula>LEN(TRIM(AG13))&gt;0</formula>
    </cfRule>
  </conditionalFormatting>
  <conditionalFormatting sqref="AC12:AF12">
    <cfRule type="expression" priority="5" aboveAverage="0" equalAverage="0" bottom="0" percent="0" rank="0" text="" dxfId="3">
      <formula>LEN(TRIM(AC12))&gt;0</formula>
    </cfRule>
  </conditionalFormatting>
  <conditionalFormatting sqref="AC13:AC15">
    <cfRule type="expression" priority="6" aboveAverage="0" equalAverage="0" bottom="0" percent="0" rank="0" text="" dxfId="4">
      <formula>LEN(TRIM(AC13))&gt;0</formula>
    </cfRule>
  </conditionalFormatting>
  <conditionalFormatting sqref="AC8:AF8 AC9:AC11">
    <cfRule type="expression" priority="7" aboveAverage="0" equalAverage="0" bottom="0" percent="0" rank="0" text="" dxfId="5">
      <formula>LEN(TRIM(AC8))&gt;0</formula>
    </cfRule>
  </conditionalFormatting>
  <conditionalFormatting sqref="AF9:AF11 AF13:AF15">
    <cfRule type="expression" priority="8" aboveAverage="0" equalAverage="0" bottom="0" percent="0" rank="0" text="" dxfId="6">
      <formula>LEN(TRIM(AF9))&gt;0</formula>
    </cfRule>
  </conditionalFormatting>
  <conditionalFormatting sqref="AD9:AE11">
    <cfRule type="expression" priority="9" aboveAverage="0" equalAverage="0" bottom="0" percent="0" rank="0" text="" dxfId="7">
      <formula>LEN(TRIM(AD9))&gt;0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0" activeCellId="0" sqref="L1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64" t="s">
        <v>231</v>
      </c>
      <c r="B1" s="9" t="s">
        <v>250</v>
      </c>
      <c r="C1" s="9" t="s">
        <v>266</v>
      </c>
      <c r="D1" s="9" t="s">
        <v>267</v>
      </c>
      <c r="E1" s="9" t="s">
        <v>251</v>
      </c>
      <c r="F1" s="9" t="s">
        <v>252</v>
      </c>
      <c r="G1" s="9" t="s">
        <v>268</v>
      </c>
      <c r="H1" s="9" t="s">
        <v>253</v>
      </c>
      <c r="I1" s="82" t="s">
        <v>269</v>
      </c>
      <c r="J1" s="82"/>
    </row>
    <row r="2" customFormat="false" ht="15" hidden="false" customHeight="false" outlineLevel="0" collapsed="false">
      <c r="A2" s="68" t="n">
        <v>44628</v>
      </c>
      <c r="B2" s="73" t="n">
        <v>0.0138888888888889</v>
      </c>
      <c r="C2" s="73" t="n">
        <v>0.0277777777777778</v>
      </c>
      <c r="D2" s="0" t="n">
        <v>20</v>
      </c>
      <c r="E2" s="0" t="n">
        <v>2</v>
      </c>
      <c r="F2" s="0" t="n">
        <v>20</v>
      </c>
      <c r="G2" s="73" t="n">
        <v>0.375</v>
      </c>
      <c r="H2" s="73" t="n">
        <v>0.375</v>
      </c>
      <c r="I2" s="82" t="n">
        <v>3</v>
      </c>
      <c r="J2" s="82"/>
    </row>
    <row r="3" customFormat="false" ht="15" hidden="false" customHeight="false" outlineLevel="0" collapsed="false">
      <c r="A3" s="68" t="n">
        <v>44629</v>
      </c>
      <c r="B3" s="73" t="n">
        <v>0.0104166666666667</v>
      </c>
      <c r="C3" s="73" t="n">
        <v>0.0486111111111111</v>
      </c>
      <c r="D3" s="0" t="n">
        <v>15</v>
      </c>
      <c r="E3" s="0" t="n">
        <v>2</v>
      </c>
      <c r="F3" s="0" t="n">
        <v>100</v>
      </c>
      <c r="G3" s="73" t="n">
        <v>0.375</v>
      </c>
      <c r="H3" s="73" t="n">
        <v>0.416666666666667</v>
      </c>
      <c r="I3" s="82" t="n">
        <v>1</v>
      </c>
      <c r="J3" s="82"/>
    </row>
    <row r="4" customFormat="false" ht="15" hidden="false" customHeight="false" outlineLevel="0" collapsed="false">
      <c r="A4" s="68" t="n">
        <v>44630</v>
      </c>
      <c r="B4" s="73" t="n">
        <v>0.0208333333333333</v>
      </c>
      <c r="C4" s="73" t="n">
        <v>0.0416666666666667</v>
      </c>
      <c r="D4" s="0" t="n">
        <v>10</v>
      </c>
      <c r="E4" s="0" t="n">
        <v>1</v>
      </c>
      <c r="F4" s="0" t="n">
        <v>10</v>
      </c>
      <c r="G4" s="73" t="n">
        <v>0.368055555555556</v>
      </c>
      <c r="H4" s="73" t="n">
        <v>0.375</v>
      </c>
      <c r="I4" s="82" t="n">
        <v>4</v>
      </c>
      <c r="J4" s="82"/>
    </row>
    <row r="5" customFormat="false" ht="15" hidden="false" customHeight="false" outlineLevel="0" collapsed="false">
      <c r="A5" s="68" t="n">
        <v>44631</v>
      </c>
      <c r="B5" s="73" t="n">
        <v>0.0208333333333333</v>
      </c>
      <c r="C5" s="73" t="n">
        <v>0.0833333333333333</v>
      </c>
      <c r="E5" s="0" t="n">
        <v>0</v>
      </c>
      <c r="F5" s="0" t="n">
        <v>0</v>
      </c>
      <c r="G5" s="73" t="n">
        <v>0.375</v>
      </c>
      <c r="H5" s="73" t="n">
        <v>0.402777777777778</v>
      </c>
      <c r="I5" s="82" t="n">
        <v>5</v>
      </c>
      <c r="J5" s="82"/>
    </row>
    <row r="6" customFormat="false" ht="15" hidden="false" customHeight="false" outlineLevel="0" collapsed="false">
      <c r="A6" s="68" t="n">
        <v>44632</v>
      </c>
      <c r="B6" s="73" t="n">
        <v>0.0208333333333333</v>
      </c>
      <c r="C6" s="73" t="n">
        <v>0.104166666666667</v>
      </c>
      <c r="D6" s="0" t="n">
        <v>10</v>
      </c>
      <c r="E6" s="0" t="n">
        <v>2</v>
      </c>
      <c r="F6" s="0" t="n">
        <v>10</v>
      </c>
      <c r="G6" s="73" t="n">
        <v>0.375</v>
      </c>
      <c r="H6" s="73" t="n">
        <v>0.395833333333333</v>
      </c>
      <c r="I6" s="82" t="n">
        <v>4</v>
      </c>
      <c r="J6" s="82"/>
    </row>
    <row r="7" customFormat="false" ht="15" hidden="false" customHeight="false" outlineLevel="0" collapsed="false">
      <c r="A7" s="68" t="n">
        <v>44633</v>
      </c>
      <c r="B7" s="73" t="n">
        <v>0.0208333333333333</v>
      </c>
      <c r="C7" s="73" t="n">
        <v>0.125</v>
      </c>
      <c r="D7" s="0" t="n">
        <v>30</v>
      </c>
      <c r="E7" s="0" t="n">
        <v>2</v>
      </c>
      <c r="F7" s="0" t="n">
        <v>15</v>
      </c>
      <c r="G7" s="73" t="n">
        <v>0.375</v>
      </c>
      <c r="H7" s="73" t="n">
        <v>0.5</v>
      </c>
      <c r="I7" s="82" t="n">
        <v>3</v>
      </c>
      <c r="J7" s="82"/>
    </row>
    <row r="8" customFormat="false" ht="15" hidden="false" customHeight="false" outlineLevel="0" collapsed="false">
      <c r="A8" s="68" t="n">
        <v>44634</v>
      </c>
      <c r="B8" s="73" t="n">
        <v>0.0138888888888889</v>
      </c>
      <c r="C8" s="73" t="n">
        <v>0.0486111111111111</v>
      </c>
      <c r="D8" s="0" t="n">
        <v>10</v>
      </c>
      <c r="E8" s="0" t="n">
        <v>0</v>
      </c>
      <c r="F8" s="0" t="n">
        <v>0</v>
      </c>
      <c r="G8" s="73" t="n">
        <v>0.375</v>
      </c>
      <c r="H8" s="73" t="n">
        <v>0.381944444444444</v>
      </c>
      <c r="I8" s="82" t="n">
        <v>4</v>
      </c>
      <c r="J8" s="82"/>
    </row>
    <row r="9" customFormat="false" ht="15" hidden="false" customHeight="false" outlineLevel="0" collapsed="false">
      <c r="A9" s="68" t="n">
        <v>44635</v>
      </c>
      <c r="B9" s="73" t="n">
        <v>0.0208333333333333</v>
      </c>
      <c r="C9" s="73" t="n">
        <v>0.0486111111111111</v>
      </c>
      <c r="D9" s="0" t="n">
        <v>15</v>
      </c>
      <c r="E9" s="0" t="n">
        <v>1</v>
      </c>
      <c r="F9" s="0" t="n">
        <v>10</v>
      </c>
      <c r="G9" s="73" t="n">
        <v>0.375</v>
      </c>
      <c r="H9" s="73" t="n">
        <v>0.416666666666667</v>
      </c>
      <c r="I9" s="82" t="n">
        <v>4</v>
      </c>
      <c r="J9" s="82"/>
    </row>
    <row r="10" customFormat="false" ht="15" hidden="false" customHeight="false" outlineLevel="0" collapsed="false">
      <c r="A10" s="68" t="n">
        <v>44636</v>
      </c>
      <c r="B10" s="73" t="n">
        <v>0</v>
      </c>
      <c r="C10" s="73" t="n">
        <v>0.0625</v>
      </c>
      <c r="D10" s="0" t="n">
        <v>15</v>
      </c>
      <c r="E10" s="0" t="n">
        <v>0</v>
      </c>
      <c r="F10" s="0" t="n">
        <v>0</v>
      </c>
      <c r="G10" s="73" t="n">
        <v>0.375</v>
      </c>
      <c r="H10" s="73" t="n">
        <v>0.375</v>
      </c>
      <c r="I10" s="82" t="n">
        <v>4</v>
      </c>
      <c r="J10" s="82"/>
    </row>
    <row r="11" customFormat="false" ht="15" hidden="false" customHeight="false" outlineLevel="0" collapsed="false">
      <c r="A11" s="68" t="n">
        <v>44637</v>
      </c>
      <c r="B11" s="73" t="n">
        <v>0.0208333333333333</v>
      </c>
      <c r="C11" s="73" t="n">
        <v>0.0486111111111111</v>
      </c>
      <c r="D11" s="0" t="n">
        <v>30</v>
      </c>
      <c r="E11" s="0" t="n">
        <v>0</v>
      </c>
      <c r="F11" s="0" t="n">
        <v>0</v>
      </c>
      <c r="G11" s="73" t="n">
        <v>0.375</v>
      </c>
      <c r="H11" s="73" t="n">
        <v>0.375</v>
      </c>
      <c r="I11" s="82" t="n">
        <v>5</v>
      </c>
      <c r="J11" s="82"/>
    </row>
    <row r="12" customFormat="false" ht="15" hidden="false" customHeight="false" outlineLevel="0" collapsed="false">
      <c r="A12" s="68" t="n">
        <v>44638</v>
      </c>
      <c r="B12" s="73" t="n">
        <v>0.0208333333333333</v>
      </c>
      <c r="C12" s="73" t="n">
        <v>0.104166666666667</v>
      </c>
      <c r="D12" s="0" t="n">
        <v>10</v>
      </c>
      <c r="E12" s="0" t="n">
        <v>0</v>
      </c>
      <c r="F12" s="0" t="n">
        <v>0</v>
      </c>
      <c r="G12" s="73" t="n">
        <v>0.375</v>
      </c>
      <c r="H12" s="73" t="n">
        <v>0.381944444444444</v>
      </c>
      <c r="I12" s="82" t="n">
        <v>4</v>
      </c>
      <c r="J12" s="82"/>
    </row>
    <row r="13" customFormat="false" ht="15" hidden="false" customHeight="false" outlineLevel="0" collapsed="false">
      <c r="A13" s="68" t="n">
        <v>44639</v>
      </c>
      <c r="B13" s="73" t="n">
        <v>0.0833333333333333</v>
      </c>
      <c r="C13" s="73" t="n">
        <v>0.125</v>
      </c>
      <c r="D13" s="0" t="n">
        <v>5</v>
      </c>
      <c r="E13" s="0" t="n">
        <v>0</v>
      </c>
      <c r="F13" s="0" t="n">
        <v>0</v>
      </c>
      <c r="G13" s="73" t="n">
        <v>0.375</v>
      </c>
      <c r="H13" s="73" t="n">
        <v>0.416666666666667</v>
      </c>
      <c r="I13" s="82" t="n">
        <v>2</v>
      </c>
      <c r="J13" s="82"/>
    </row>
    <row r="14" customFormat="false" ht="15" hidden="false" customHeight="false" outlineLevel="0" collapsed="false">
      <c r="A14" s="68" t="n">
        <v>44640</v>
      </c>
      <c r="B14" s="73" t="n">
        <v>0.145833333333333</v>
      </c>
      <c r="C14" s="73" t="n">
        <v>0.166666666666667</v>
      </c>
      <c r="D14" s="0" t="n">
        <v>15</v>
      </c>
      <c r="E14" s="0" t="n">
        <v>2</v>
      </c>
      <c r="F14" s="0" t="n">
        <v>15</v>
      </c>
      <c r="G14" s="73" t="n">
        <v>0.416666666666667</v>
      </c>
      <c r="H14" s="73" t="n">
        <v>0.416666666666667</v>
      </c>
      <c r="I14" s="82" t="n">
        <v>2</v>
      </c>
      <c r="J14" s="82"/>
    </row>
    <row r="15" customFormat="false" ht="15" hidden="false" customHeight="false" outlineLevel="0" collapsed="false">
      <c r="A15" s="68" t="n">
        <v>44641</v>
      </c>
      <c r="B15" s="73" t="n">
        <v>0.145833333333333</v>
      </c>
      <c r="C15" s="73" t="n">
        <v>0.145833333333333</v>
      </c>
      <c r="D15" s="0" t="n">
        <v>5</v>
      </c>
      <c r="E15" s="0" t="n">
        <v>0</v>
      </c>
      <c r="F15" s="0" t="n">
        <v>0</v>
      </c>
      <c r="G15" s="73" t="n">
        <v>0.375</v>
      </c>
      <c r="H15" s="73" t="n">
        <v>0.416666666666667</v>
      </c>
      <c r="I15" s="82" t="n">
        <v>2</v>
      </c>
      <c r="J15" s="82"/>
    </row>
    <row r="16" customFormat="false" ht="15" hidden="false" customHeight="false" outlineLevel="0" collapsed="false">
      <c r="I16" s="82"/>
      <c r="J16" s="82"/>
    </row>
    <row r="17" customFormat="false" ht="15" hidden="false" customHeight="false" outlineLevel="0" collapsed="false">
      <c r="I17" s="82"/>
      <c r="J17" s="82"/>
    </row>
    <row r="18" customFormat="false" ht="15" hidden="false" customHeight="false" outlineLevel="0" collapsed="false">
      <c r="I18" s="82"/>
      <c r="J18" s="8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F24" activeCellId="0" sqref="F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29"/>
    <col collapsed="false" customWidth="true" hidden="false" outlineLevel="0" max="2" min="2" style="0" width="7.28"/>
    <col collapsed="false" customWidth="true" hidden="false" outlineLevel="0" max="3" min="3" style="0" width="12.72"/>
    <col collapsed="false" customWidth="true" hidden="false" outlineLevel="0" max="4" min="4" style="0" width="2.29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71"/>
  </cols>
  <sheetData>
    <row r="1" customFormat="false" ht="15" hidden="false" customHeight="false" outlineLevel="0" collapsed="false">
      <c r="A1" s="83" t="s">
        <v>270</v>
      </c>
      <c r="B1" s="83"/>
      <c r="C1" s="83"/>
      <c r="D1" s="83"/>
      <c r="E1" s="83"/>
      <c r="F1" s="83"/>
      <c r="G1" s="83"/>
      <c r="I1" s="84" t="s">
        <v>271</v>
      </c>
      <c r="J1" s="84"/>
      <c r="K1" s="84"/>
      <c r="L1" s="84"/>
      <c r="M1" s="84"/>
      <c r="N1" s="84"/>
      <c r="O1" s="84"/>
    </row>
    <row r="2" customFormat="false" ht="15" hidden="false" customHeight="false" outlineLevel="0" collapsed="false">
      <c r="A2" s="0" t="s">
        <v>272</v>
      </c>
      <c r="E2" s="0" t="s">
        <v>273</v>
      </c>
      <c r="I2" s="0" t="s">
        <v>272</v>
      </c>
      <c r="M2" s="0" t="s">
        <v>273</v>
      </c>
    </row>
    <row r="3" customFormat="false" ht="15" hidden="false" customHeight="false" outlineLevel="0" collapsed="false">
      <c r="A3" s="17" t="s">
        <v>67</v>
      </c>
      <c r="B3" s="17" t="s">
        <v>56</v>
      </c>
      <c r="C3" s="17" t="s">
        <v>68</v>
      </c>
      <c r="E3" s="17" t="s">
        <v>67</v>
      </c>
      <c r="F3" s="17" t="s">
        <v>56</v>
      </c>
      <c r="G3" s="17" t="s">
        <v>68</v>
      </c>
      <c r="I3" s="17" t="s">
        <v>67</v>
      </c>
      <c r="J3" s="17" t="s">
        <v>56</v>
      </c>
      <c r="K3" s="17" t="s">
        <v>68</v>
      </c>
      <c r="M3" s="17" t="s">
        <v>67</v>
      </c>
      <c r="N3" s="17" t="s">
        <v>56</v>
      </c>
      <c r="O3" s="17" t="s">
        <v>68</v>
      </c>
    </row>
    <row r="4" customFormat="false" ht="15" hidden="false" customHeight="false" outlineLevel="0" collapsed="false">
      <c r="A4" s="27" t="s">
        <v>71</v>
      </c>
      <c r="B4" s="11" t="n">
        <v>2</v>
      </c>
      <c r="C4" s="17" t="s">
        <v>274</v>
      </c>
      <c r="E4" s="27" t="s">
        <v>71</v>
      </c>
      <c r="F4" s="11" t="n">
        <v>1</v>
      </c>
      <c r="G4" s="17" t="s">
        <v>274</v>
      </c>
      <c r="I4" s="27" t="s">
        <v>71</v>
      </c>
      <c r="J4" s="11" t="n">
        <v>2</v>
      </c>
      <c r="K4" s="17" t="s">
        <v>274</v>
      </c>
      <c r="M4" s="27" t="s">
        <v>71</v>
      </c>
      <c r="N4" s="11" t="n">
        <v>3</v>
      </c>
      <c r="O4" s="17" t="s">
        <v>274</v>
      </c>
    </row>
    <row r="5" customFormat="false" ht="15" hidden="false" customHeight="false" outlineLevel="0" collapsed="false">
      <c r="A5" s="46" t="s">
        <v>77</v>
      </c>
      <c r="B5" s="11" t="n">
        <v>1</v>
      </c>
      <c r="C5" s="47" t="n">
        <f aca="false">B4+B6+B8+B12+B13+B15+B17+B19+B20+B22</f>
        <v>14</v>
      </c>
      <c r="E5" s="46" t="s">
        <v>77</v>
      </c>
      <c r="F5" s="11" t="n">
        <v>2</v>
      </c>
      <c r="G5" s="47" t="n">
        <f aca="false">F4+F6+F8+F12+F13+F15+F17+F19+F20+F22</f>
        <v>14</v>
      </c>
      <c r="I5" s="46" t="s">
        <v>77</v>
      </c>
      <c r="J5" s="11" t="n">
        <v>1</v>
      </c>
      <c r="K5" s="47" t="n">
        <f aca="false">J4+J6+J8+J12+J13+J15+J17+J19+J20+J22</f>
        <v>17</v>
      </c>
      <c r="M5" s="46" t="s">
        <v>77</v>
      </c>
      <c r="N5" s="11" t="n">
        <v>1</v>
      </c>
      <c r="O5" s="47" t="n">
        <f aca="false">N4+N6+N8+N12+N13+N15+N17+N19+N20+N22</f>
        <v>19</v>
      </c>
    </row>
    <row r="6" customFormat="false" ht="15" hidden="false" customHeight="false" outlineLevel="0" collapsed="false">
      <c r="A6" s="27" t="s">
        <v>81</v>
      </c>
      <c r="B6" s="11" t="n">
        <v>1</v>
      </c>
      <c r="E6" s="27" t="s">
        <v>81</v>
      </c>
      <c r="F6" s="11" t="n">
        <v>1</v>
      </c>
      <c r="I6" s="27" t="s">
        <v>81</v>
      </c>
      <c r="J6" s="11" t="n">
        <v>2</v>
      </c>
      <c r="M6" s="27" t="s">
        <v>81</v>
      </c>
      <c r="N6" s="11" t="n">
        <v>2</v>
      </c>
    </row>
    <row r="7" customFormat="false" ht="15" hidden="false" customHeight="false" outlineLevel="0" collapsed="false">
      <c r="A7" s="46" t="s">
        <v>84</v>
      </c>
      <c r="B7" s="11" t="n">
        <v>2</v>
      </c>
      <c r="C7" s="17" t="s">
        <v>275</v>
      </c>
      <c r="E7" s="46" t="s">
        <v>84</v>
      </c>
      <c r="F7" s="11" t="n">
        <v>1</v>
      </c>
      <c r="G7" s="17" t="s">
        <v>275</v>
      </c>
      <c r="I7" s="46" t="s">
        <v>84</v>
      </c>
      <c r="J7" s="11" t="n">
        <v>1</v>
      </c>
      <c r="K7" s="17" t="s">
        <v>86</v>
      </c>
      <c r="M7" s="46" t="s">
        <v>84</v>
      </c>
      <c r="N7" s="11" t="n">
        <v>1</v>
      </c>
      <c r="O7" s="17" t="s">
        <v>275</v>
      </c>
    </row>
    <row r="8" customFormat="false" ht="15" hidden="false" customHeight="false" outlineLevel="0" collapsed="false">
      <c r="A8" s="27" t="s">
        <v>88</v>
      </c>
      <c r="B8" s="11" t="n">
        <v>1</v>
      </c>
      <c r="C8" s="47" t="n">
        <f aca="false">B5+B7+B9+B10+B11+B14+B16+B18+B21+B23</f>
        <v>12</v>
      </c>
      <c r="E8" s="27" t="s">
        <v>88</v>
      </c>
      <c r="F8" s="11" t="n">
        <v>1</v>
      </c>
      <c r="G8" s="47" t="n">
        <f aca="false">F5+F7+F9+F10+F11+F14+F16+F18+F21+F23</f>
        <v>16</v>
      </c>
      <c r="I8" s="27" t="s">
        <v>88</v>
      </c>
      <c r="J8" s="11" t="n">
        <v>1</v>
      </c>
      <c r="K8" s="47" t="n">
        <f aca="false">J5+J7+J9+J10+J11+J14+J16+J18+J21+J23</f>
        <v>12</v>
      </c>
      <c r="M8" s="27" t="s">
        <v>88</v>
      </c>
      <c r="N8" s="11" t="n">
        <v>1</v>
      </c>
      <c r="O8" s="47" t="n">
        <f aca="false">N5+N7+N9+N10+N11+N14+N16+N18+N21+N23</f>
        <v>13</v>
      </c>
    </row>
    <row r="9" customFormat="false" ht="15" hidden="false" customHeight="false" outlineLevel="0" collapsed="false">
      <c r="A9" s="46" t="s">
        <v>90</v>
      </c>
      <c r="B9" s="11" t="n">
        <v>1</v>
      </c>
      <c r="E9" s="46" t="s">
        <v>90</v>
      </c>
      <c r="F9" s="11" t="n">
        <v>1</v>
      </c>
      <c r="I9" s="46" t="s">
        <v>90</v>
      </c>
      <c r="J9" s="11" t="n">
        <v>1</v>
      </c>
      <c r="M9" s="46" t="s">
        <v>90</v>
      </c>
      <c r="N9" s="11" t="n">
        <v>1</v>
      </c>
    </row>
    <row r="10" customFormat="false" ht="15" hidden="false" customHeight="false" outlineLevel="0" collapsed="false">
      <c r="A10" s="46" t="s">
        <v>92</v>
      </c>
      <c r="B10" s="11" t="n">
        <v>1</v>
      </c>
      <c r="E10" s="46" t="s">
        <v>92</v>
      </c>
      <c r="F10" s="11" t="n">
        <v>2</v>
      </c>
      <c r="I10" s="46" t="s">
        <v>92</v>
      </c>
      <c r="J10" s="11" t="n">
        <v>1</v>
      </c>
      <c r="M10" s="46" t="s">
        <v>92</v>
      </c>
      <c r="N10" s="11" t="n">
        <v>1</v>
      </c>
    </row>
    <row r="11" customFormat="false" ht="15" hidden="false" customHeight="false" outlineLevel="0" collapsed="false">
      <c r="A11" s="46" t="s">
        <v>93</v>
      </c>
      <c r="B11" s="11" t="n">
        <v>1</v>
      </c>
      <c r="E11" s="46" t="s">
        <v>93</v>
      </c>
      <c r="F11" s="11" t="n">
        <v>1</v>
      </c>
      <c r="I11" s="46" t="s">
        <v>93</v>
      </c>
      <c r="J11" s="11" t="n">
        <v>1</v>
      </c>
      <c r="M11" s="46" t="s">
        <v>93</v>
      </c>
      <c r="N11" s="11" t="n">
        <v>1</v>
      </c>
    </row>
    <row r="12" customFormat="false" ht="15" hidden="false" customHeight="false" outlineLevel="0" collapsed="false">
      <c r="A12" s="27" t="s">
        <v>96</v>
      </c>
      <c r="B12" s="11" t="n">
        <v>2</v>
      </c>
      <c r="E12" s="27" t="s">
        <v>96</v>
      </c>
      <c r="F12" s="11" t="n">
        <v>2</v>
      </c>
      <c r="I12" s="27" t="s">
        <v>96</v>
      </c>
      <c r="J12" s="11" t="n">
        <v>2</v>
      </c>
      <c r="M12" s="27" t="s">
        <v>96</v>
      </c>
      <c r="N12" s="11" t="n">
        <v>2</v>
      </c>
    </row>
    <row r="13" customFormat="false" ht="15" hidden="false" customHeight="false" outlineLevel="0" collapsed="false">
      <c r="A13" s="27" t="s">
        <v>100</v>
      </c>
      <c r="B13" s="11" t="n">
        <v>2</v>
      </c>
      <c r="E13" s="27" t="s">
        <v>100</v>
      </c>
      <c r="F13" s="11" t="n">
        <v>3</v>
      </c>
      <c r="I13" s="27" t="s">
        <v>100</v>
      </c>
      <c r="J13" s="11" t="n">
        <v>1</v>
      </c>
      <c r="M13" s="27" t="s">
        <v>100</v>
      </c>
      <c r="N13" s="11" t="n">
        <v>1</v>
      </c>
    </row>
    <row r="14" customFormat="false" ht="15" hidden="false" customHeight="false" outlineLevel="0" collapsed="false">
      <c r="A14" s="46" t="s">
        <v>103</v>
      </c>
      <c r="B14" s="11" t="n">
        <v>2</v>
      </c>
      <c r="E14" s="46" t="s">
        <v>103</v>
      </c>
      <c r="F14" s="11" t="n">
        <v>2</v>
      </c>
      <c r="I14" s="46" t="s">
        <v>103</v>
      </c>
      <c r="J14" s="11" t="n">
        <v>2</v>
      </c>
      <c r="M14" s="46" t="s">
        <v>103</v>
      </c>
      <c r="N14" s="11" t="n">
        <v>2</v>
      </c>
    </row>
    <row r="15" customFormat="false" ht="15" hidden="false" customHeight="false" outlineLevel="0" collapsed="false">
      <c r="A15" s="27" t="s">
        <v>106</v>
      </c>
      <c r="B15" s="11" t="n">
        <v>1</v>
      </c>
      <c r="E15" s="27" t="s">
        <v>106</v>
      </c>
      <c r="F15" s="11" t="n">
        <v>1</v>
      </c>
      <c r="I15" s="27" t="s">
        <v>106</v>
      </c>
      <c r="J15" s="11" t="n">
        <v>2</v>
      </c>
      <c r="M15" s="27" t="s">
        <v>106</v>
      </c>
      <c r="N15" s="11" t="n">
        <v>2</v>
      </c>
    </row>
    <row r="16" customFormat="false" ht="15" hidden="false" customHeight="false" outlineLevel="0" collapsed="false">
      <c r="A16" s="46" t="s">
        <v>109</v>
      </c>
      <c r="B16" s="11" t="n">
        <v>1</v>
      </c>
      <c r="E16" s="46" t="s">
        <v>109</v>
      </c>
      <c r="F16" s="11" t="n">
        <v>1</v>
      </c>
      <c r="I16" s="46" t="s">
        <v>109</v>
      </c>
      <c r="J16" s="11" t="n">
        <v>1</v>
      </c>
      <c r="M16" s="46" t="s">
        <v>109</v>
      </c>
      <c r="N16" s="11" t="n">
        <v>1</v>
      </c>
    </row>
    <row r="17" customFormat="false" ht="15" hidden="false" customHeight="false" outlineLevel="0" collapsed="false">
      <c r="A17" s="27" t="s">
        <v>112</v>
      </c>
      <c r="B17" s="11" t="n">
        <v>1</v>
      </c>
      <c r="E17" s="27" t="s">
        <v>112</v>
      </c>
      <c r="F17" s="11" t="n">
        <v>1</v>
      </c>
      <c r="I17" s="27" t="s">
        <v>112</v>
      </c>
      <c r="J17" s="11" t="n">
        <v>1</v>
      </c>
      <c r="M17" s="27" t="s">
        <v>112</v>
      </c>
      <c r="N17" s="11" t="n">
        <v>2</v>
      </c>
    </row>
    <row r="18" customFormat="false" ht="15" hidden="false" customHeight="false" outlineLevel="0" collapsed="false">
      <c r="A18" s="46" t="s">
        <v>116</v>
      </c>
      <c r="B18" s="11" t="n">
        <v>1</v>
      </c>
      <c r="E18" s="46" t="s">
        <v>116</v>
      </c>
      <c r="F18" s="11" t="n">
        <v>2</v>
      </c>
      <c r="I18" s="46" t="s">
        <v>116</v>
      </c>
      <c r="J18" s="11" t="n">
        <v>1</v>
      </c>
      <c r="M18" s="46" t="s">
        <v>116</v>
      </c>
      <c r="N18" s="11" t="n">
        <v>2</v>
      </c>
    </row>
    <row r="19" customFormat="false" ht="15" hidden="false" customHeight="false" outlineLevel="0" collapsed="false">
      <c r="A19" s="27" t="s">
        <v>119</v>
      </c>
      <c r="B19" s="11" t="n">
        <v>1</v>
      </c>
      <c r="E19" s="27" t="s">
        <v>119</v>
      </c>
      <c r="F19" s="11" t="n">
        <v>2</v>
      </c>
      <c r="I19" s="27" t="s">
        <v>119</v>
      </c>
      <c r="J19" s="11" t="n">
        <v>3</v>
      </c>
      <c r="M19" s="27" t="s">
        <v>119</v>
      </c>
      <c r="N19" s="11" t="n">
        <v>3</v>
      </c>
    </row>
    <row r="20" customFormat="false" ht="15" hidden="false" customHeight="false" outlineLevel="0" collapsed="false">
      <c r="A20" s="27" t="s">
        <v>122</v>
      </c>
      <c r="B20" s="11" t="n">
        <v>1</v>
      </c>
      <c r="E20" s="27" t="s">
        <v>122</v>
      </c>
      <c r="F20" s="11" t="n">
        <v>1</v>
      </c>
      <c r="I20" s="27" t="s">
        <v>122</v>
      </c>
      <c r="J20" s="11" t="n">
        <v>2</v>
      </c>
      <c r="M20" s="27" t="s">
        <v>122</v>
      </c>
      <c r="N20" s="11" t="n">
        <v>2</v>
      </c>
    </row>
    <row r="21" customFormat="false" ht="15" hidden="false" customHeight="false" outlineLevel="0" collapsed="false">
      <c r="A21" s="46" t="s">
        <v>125</v>
      </c>
      <c r="B21" s="11" t="n">
        <v>1</v>
      </c>
      <c r="E21" s="46" t="s">
        <v>125</v>
      </c>
      <c r="F21" s="11" t="n">
        <v>2</v>
      </c>
      <c r="I21" s="46" t="s">
        <v>125</v>
      </c>
      <c r="J21" s="11" t="n">
        <v>2</v>
      </c>
      <c r="M21" s="46" t="s">
        <v>125</v>
      </c>
      <c r="N21" s="11" t="n">
        <v>2</v>
      </c>
    </row>
    <row r="22" customFormat="false" ht="15" hidden="false" customHeight="false" outlineLevel="0" collapsed="false">
      <c r="A22" s="27" t="s">
        <v>127</v>
      </c>
      <c r="B22" s="11" t="n">
        <v>2</v>
      </c>
      <c r="E22" s="27" t="s">
        <v>127</v>
      </c>
      <c r="F22" s="11" t="n">
        <v>1</v>
      </c>
      <c r="I22" s="27" t="s">
        <v>127</v>
      </c>
      <c r="J22" s="11" t="n">
        <v>1</v>
      </c>
      <c r="M22" s="27" t="s">
        <v>127</v>
      </c>
      <c r="N22" s="11" t="n">
        <v>1</v>
      </c>
    </row>
    <row r="23" customFormat="false" ht="15" hidden="false" customHeight="false" outlineLevel="0" collapsed="false">
      <c r="A23" s="46" t="s">
        <v>129</v>
      </c>
      <c r="B23" s="11" t="n">
        <v>1</v>
      </c>
      <c r="E23" s="46" t="s">
        <v>129</v>
      </c>
      <c r="F23" s="11" t="n">
        <v>2</v>
      </c>
      <c r="I23" s="46" t="s">
        <v>129</v>
      </c>
      <c r="J23" s="11" t="n">
        <v>1</v>
      </c>
      <c r="M23" s="46" t="s">
        <v>129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1" activeCellId="0" sqref="B3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85" t="s">
        <v>276</v>
      </c>
    </row>
    <row r="3" customFormat="false" ht="15" hidden="false" customHeight="false" outlineLevel="0" collapsed="false">
      <c r="A3" s="22" t="s">
        <v>71</v>
      </c>
      <c r="B3" s="86"/>
      <c r="C3" s="9" t="s">
        <v>277</v>
      </c>
    </row>
    <row r="4" customFormat="false" ht="15" hidden="false" customHeight="false" outlineLevel="0" collapsed="false">
      <c r="A4" s="22" t="s">
        <v>171</v>
      </c>
      <c r="B4" s="11" t="n">
        <v>7</v>
      </c>
      <c r="C4" s="9" t="s">
        <v>278</v>
      </c>
    </row>
    <row r="5" customFormat="false" ht="15" hidden="false" customHeight="false" outlineLevel="0" collapsed="false">
      <c r="A5" s="22" t="s">
        <v>81</v>
      </c>
      <c r="B5" s="11" t="n">
        <v>6</v>
      </c>
      <c r="C5" s="9" t="s">
        <v>279</v>
      </c>
    </row>
    <row r="7" customFormat="false" ht="15" hidden="false" customHeight="false" outlineLevel="0" collapsed="false">
      <c r="A7" s="17" t="s">
        <v>280</v>
      </c>
    </row>
    <row r="8" customFormat="false" ht="15" hidden="false" customHeight="false" outlineLevel="0" collapsed="false">
      <c r="A8" s="5" t="s">
        <v>71</v>
      </c>
      <c r="B8" s="87" t="s">
        <v>281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77</v>
      </c>
      <c r="B9" s="87" t="s">
        <v>282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8" t="s">
        <v>81</v>
      </c>
      <c r="B10" s="87" t="s">
        <v>283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84</v>
      </c>
      <c r="B11" s="87" t="s">
        <v>282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284</v>
      </c>
    </row>
    <row r="14" customFormat="false" ht="15" hidden="false" customHeight="false" outlineLevel="0" collapsed="false">
      <c r="A14" s="22" t="s">
        <v>285</v>
      </c>
      <c r="B14" s="11" t="n">
        <v>0</v>
      </c>
    </row>
    <row r="15" customFormat="false" ht="15" hidden="false" customHeight="false" outlineLevel="0" collapsed="false">
      <c r="A15" s="22" t="s">
        <v>286</v>
      </c>
      <c r="B15" s="11"/>
    </row>
    <row r="17" customFormat="false" ht="15" hidden="false" customHeight="false" outlineLevel="0" collapsed="false">
      <c r="A17" s="0" t="s">
        <v>33</v>
      </c>
    </row>
    <row r="18" customFormat="false" ht="15" hidden="false" customHeight="false" outlineLevel="0" collapsed="false">
      <c r="A18" s="85" t="s">
        <v>276</v>
      </c>
    </row>
    <row r="19" customFormat="false" ht="15" hidden="false" customHeight="false" outlineLevel="0" collapsed="false">
      <c r="A19" s="22" t="s">
        <v>71</v>
      </c>
      <c r="B19" s="86"/>
      <c r="C19" s="9" t="s">
        <v>277</v>
      </c>
    </row>
    <row r="20" customFormat="false" ht="15" hidden="false" customHeight="false" outlineLevel="0" collapsed="false">
      <c r="A20" s="22" t="s">
        <v>171</v>
      </c>
      <c r="B20" s="11" t="n">
        <v>3</v>
      </c>
      <c r="C20" s="9" t="s">
        <v>278</v>
      </c>
    </row>
    <row r="21" customFormat="false" ht="15" hidden="false" customHeight="false" outlineLevel="0" collapsed="false">
      <c r="A21" s="22" t="s">
        <v>81</v>
      </c>
      <c r="B21" s="11" t="n">
        <v>6</v>
      </c>
      <c r="C21" s="9" t="s">
        <v>279</v>
      </c>
    </row>
    <row r="23" customFormat="false" ht="15" hidden="false" customHeight="false" outlineLevel="0" collapsed="false">
      <c r="A23" s="17" t="s">
        <v>280</v>
      </c>
    </row>
    <row r="24" customFormat="false" ht="15" hidden="false" customHeight="false" outlineLevel="0" collapsed="false">
      <c r="A24" s="5" t="s">
        <v>71</v>
      </c>
      <c r="B24" s="87" t="s">
        <v>287</v>
      </c>
      <c r="C24" s="29"/>
      <c r="D24" s="29"/>
      <c r="E24" s="29"/>
      <c r="F24" s="29"/>
      <c r="G24" s="29"/>
      <c r="H24" s="29"/>
      <c r="I24" s="89"/>
    </row>
    <row r="25" customFormat="false" ht="15" hidden="false" customHeight="false" outlineLevel="0" collapsed="false">
      <c r="A25" s="5" t="s">
        <v>77</v>
      </c>
      <c r="B25" s="87" t="s">
        <v>288</v>
      </c>
      <c r="C25" s="29"/>
      <c r="D25" s="29"/>
      <c r="E25" s="29"/>
      <c r="F25" s="29"/>
      <c r="G25" s="29"/>
      <c r="H25" s="29"/>
      <c r="I25" s="89"/>
    </row>
    <row r="26" customFormat="false" ht="15" hidden="false" customHeight="false" outlineLevel="0" collapsed="false">
      <c r="A26" s="88" t="s">
        <v>81</v>
      </c>
      <c r="B26" s="87" t="s">
        <v>289</v>
      </c>
      <c r="C26" s="29"/>
      <c r="D26" s="29"/>
      <c r="E26" s="29"/>
      <c r="F26" s="29"/>
      <c r="G26" s="29"/>
      <c r="H26" s="29"/>
      <c r="I26" s="89"/>
    </row>
    <row r="27" customFormat="false" ht="15" hidden="false" customHeight="false" outlineLevel="0" collapsed="false">
      <c r="A27" s="5" t="s">
        <v>84</v>
      </c>
      <c r="B27" s="87" t="s">
        <v>290</v>
      </c>
      <c r="C27" s="29"/>
      <c r="D27" s="29"/>
      <c r="E27" s="29"/>
      <c r="F27" s="29"/>
      <c r="G27" s="29"/>
      <c r="H27" s="29"/>
      <c r="I27" s="89"/>
    </row>
    <row r="29" customFormat="false" ht="15" hidden="false" customHeight="false" outlineLevel="0" collapsed="false">
      <c r="A29" s="17" t="s">
        <v>284</v>
      </c>
    </row>
    <row r="30" customFormat="false" ht="15" hidden="false" customHeight="false" outlineLevel="0" collapsed="false">
      <c r="A30" s="22" t="s">
        <v>285</v>
      </c>
      <c r="B30" s="11" t="n">
        <v>0</v>
      </c>
    </row>
    <row r="31" customFormat="false" ht="15" hidden="false" customHeight="false" outlineLevel="0" collapsed="false">
      <c r="A31" s="22" t="s">
        <v>286</v>
      </c>
      <c r="B31" s="11"/>
    </row>
    <row r="38" customFormat="false" ht="15" hidden="false" customHeight="false" outlineLevel="0" collapsed="false">
      <c r="A38" s="4" t="s">
        <v>276</v>
      </c>
    </row>
    <row r="39" customFormat="false" ht="15" hidden="false" customHeight="false" outlineLevel="0" collapsed="false">
      <c r="A39" s="22" t="s">
        <v>291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292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293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294</v>
      </c>
    </row>
    <row r="44" customFormat="false" ht="15" hidden="false" customHeight="false" outlineLevel="0" collapsed="false">
      <c r="A44" s="22" t="s">
        <v>295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296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297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298</v>
      </c>
      <c r="B47" s="22"/>
      <c r="C47" s="22"/>
    </row>
    <row r="49" customFormat="false" ht="15" hidden="false" customHeight="false" outlineLevel="0" collapsed="false">
      <c r="A49" s="4" t="s">
        <v>299</v>
      </c>
    </row>
    <row r="50" customFormat="false" ht="16.4" hidden="false" customHeight="false" outlineLevel="0" collapsed="false">
      <c r="A50" s="5" t="s">
        <v>300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301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90" t="s">
        <v>302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2"/>
    </row>
    <row r="53" customFormat="false" ht="16.4" hidden="false" customHeight="false" outlineLevel="0" collapsed="false">
      <c r="A53" s="5" t="s">
        <v>303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8" t="s">
        <v>305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4"/>
    </row>
    <row r="56" customFormat="false" ht="16.4" hidden="false" customHeight="false" outlineLevel="0" collapsed="false">
      <c r="A56" s="5" t="s">
        <v>306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307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8" t="s">
        <v>308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4"/>
    </row>
    <row r="59" customFormat="false" ht="16.4" hidden="false" customHeight="false" outlineLevel="0" collapsed="false">
      <c r="A59" s="5" t="s">
        <v>309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2026-01-23T14:57:00Z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