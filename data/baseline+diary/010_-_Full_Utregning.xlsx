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<sst xmlns="http://schemas.openxmlformats.org/spreadsheetml/2006/main" count="559" uniqueCount="308">
  <si>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</si>
  <si>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</si>
  <si>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</si>
  <si>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</si>
  <si>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</si>
  <si>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</si>
  <si>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</si>
  <si>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</si>
  <si>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</si>
  <si>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</si>
  <si>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</si>
  <si>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</si>
  <si>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</si>
  <si>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</si>
  <si>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</si>
  <si>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</si>
  <si>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</si>
  <si>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</si>
  <si>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</si>
  <si>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</si>
  <si>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</si>
  <si>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</si>
  <si>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</si>
  <si>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fløyte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</si>
  <si>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</si>
  <si>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</si>
  <si>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</si>
  <si>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</si>
  <si>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</si>
  <si>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</si>
  <si>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</si>
  <si>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</si>
  <si>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</si>
  <si>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</si>
  <si>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</si>
  <si>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</si>
  <si>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</si>
  <si>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</si>
  <si>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</si>
  <si>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</si>
  <si>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</si>
  <si>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</si>
  <si>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</si>
  <si>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</si>
  <si>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Nice signals 2/3 of the task, then a lot of noise from CP2 or CPS (ref.) mostlikely </t>
  </si>
  <si>
    <t xml:space="preserve">Task-related comments</t>
  </si>
  <si>
    <t xml:space="preserve">Else</t>
  </si>
  <si>
    <t xml:space="preserve">Participant has 2 extra test-days in spss we just removed the first two days of baseline 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</si>
  <si>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</si>
  <si>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</si>
  <si>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</si>
  <si>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</si>
  <si>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</si>
  <si>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</si>
  <si>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</si>
  <si>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</si>
  <si>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</si>
  <si>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</si>
  <si>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</si>
  <si>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</si>
  <si>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</si>
  <si>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</si>
  <si>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</si>
  <si>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</si>
  <si>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</si>
  <si>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</si>
  <si>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</si>
  <si>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</si>
  <si>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</si>
  <si>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</si>
  <si>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</si>
  <si>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</si>
  <si>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</si>
  <si>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</si>
  <si>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</si>
  <si>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</si>
  <si>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</si>
  <si>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</si>
  <si>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</si>
  <si>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</si>
  <si>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</si>
  <si>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</si>
  <si>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</si>
  <si>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</si>
  <si>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</si>
  <si>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</si>
  <si>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</si>
  <si>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</si>
  <si>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</si>
  <si>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</si>
  <si>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</si>
  <si>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</si>
  <si>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</si>
  <si>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</si>
  <si>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</si>
  <si>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</si>
  <si>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</si>
  <si>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</si>
  <si>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</si>
  <si>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</si>
  <si>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</si>
  <si>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</si>
  <si>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</si>
  <si>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</si>
  <si>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</si>
  <si>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</si>
  <si>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</si>
  <si>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</si>
  <si>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</si>
  <si>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</si>
  <si>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</si>
  <si>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</si>
  <si>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</si>
  <si>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</si>
  <si>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</si>
  <si>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</si>
  <si>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</si>
  <si>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</si>
  <si>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</si>
  <si>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</si>
  <si>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</si>
  <si>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</si>
  <si>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</si>
  <si>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</si>
  <si>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</si>
  <si>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</si>
  <si>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</si>
  <si>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</si>
  <si>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</si>
  <si>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</si>
  <si>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</si>
  <si>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</si>
  <si>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</si>
  <si>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</si>
  <si>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</si>
  <si>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</si>
  <si>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</si>
  <si>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</si>
  <si>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</si>
  <si>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</si>
  <si>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</si>
  <si>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</si>
  <si>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</si>
  <si>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</si>
  <si>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</si>
  <si>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</si>
  <si>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</si>
  <si>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</si>
  <si>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</si>
  <si>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</si>
  <si>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</si>
  <si>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</si>
  <si>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</si>
  <si>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</si>
  <si>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</si>
  <si>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</si>
  <si>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</si>
  <si>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</si>
  <si>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</si>
  <si>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</si>
  <si>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</si>
  <si>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</si>
  <si>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</si>
  <si>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</si>
  <si>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</si>
  <si>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</si>
  <si>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</si>
  <si>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</si>
  <si>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</si>
  <si>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</si>
  <si>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</si>
  <si>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</si>
  <si>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</si>
  <si>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</si>
  <si>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</si>
  <si>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</si>
  <si>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</si>
  <si>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</si>
  <si>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</si>
  <si>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</si>
  <si>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</si>
  <si>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</si>
  <si>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</si>
  <si>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</si>
  <si>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</si>
  <si>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</si>
  <si>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</si>
  <si>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</si>
  <si>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</si>
  <si>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</si>
  <si>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</si>
  <si>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</si>
  <si>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</si>
  <si>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</si>
  <si>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</si>
  <si>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</si>
  <si>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</si>
  <si>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</si>
  <si>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</si>
  <si>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</si>
  <si>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</si>
  <si>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</si>
  <si>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</si>
  <si>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</si>
  <si>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</si>
  <si>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</si>
  <si>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</si>
  <si>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</si>
  <si>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</si>
  <si>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</si>
  <si>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</si>
  <si>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</si>
  <si>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</si>
  <si>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</si>
  <si>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</si>
  <si>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</si>
  <si>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</si>
  <si>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</si>
  <si>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</si>
  <si>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</si>
  <si>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</si>
  <si>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</si>
  <si>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</si>
  <si>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</si>
  <si>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</si>
  <si>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</si>
  <si>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</si>
  <si>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</si>
  <si>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</si>
  <si>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</si>
  <si>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</si>
  <si>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</si>
  <si>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</si>
  <si>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</si>
  <si>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</si>
  <si>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</si>
  <si>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</si>
  <si>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</si>
  <si>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</si>
  <si>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</si>
  <si>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</si>
  <si>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</si>
  <si>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</si>
  <si>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</si>
  <si>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</si>
  <si>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</si>
  <si>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</si>
  <si>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</si>
  <si>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</si>
  <si>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</si>
  <si>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</si>
  <si>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</si>
  <si>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</si>
  <si>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</si>
  <si>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</si>
  <si>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</si>
  <si>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</si>
  <si>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</si>
  <si>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</si>
  <si>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</si>
  <si>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</si>
  <si>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</si>
  <si>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</si>
  <si>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</si>
  <si>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</si>
  <si>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</si>
  <si>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</si>
  <si>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</si>
  <si>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</si>
  <si>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</si>
  <si>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</si>
  <si>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</si>
  <si>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</si>
  <si>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</si>
  <si>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</si>
  <si>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</si>
  <si>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</si>
  <si>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</si>
  <si>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</si>
  <si>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</si>
  <si>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</si>
  <si>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</si>
  <si>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tenkte på kaffe. Hvor mange spørsmål det var igjen. Gel i øret.</t>
  </si>
  <si>
    <t xml:space="preserve">Miniquiz</t>
  </si>
  <si>
    <t xml:space="preserve">Quiz feil (antall)</t>
  </si>
  <si>
    <t xml:space="preserve">Hvilket spørsmål?</t>
  </si>
  <si>
    <t xml:space="preserve">Nei</t>
  </si>
  <si>
    <t xml:space="preserve">kaffe. Husker ikke annet</t>
  </si>
  <si>
    <t xml:space="preserve">7, 10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</si>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</sst>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10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21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44269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11</v>
      </c>
      <c r="E8" s="11" t="n">
        <v>28</v>
      </c>
      <c r="F8" s="8" t="s">
        <v>15</v>
      </c>
      <c r="H8" s="12" t="n">
        <f aca="false">((E8/0.6)/100)+D8</f>
        <v>11.4666666666667</v>
      </c>
    </row>
    <row r="9" customFormat="false" ht="15" hidden="false" customHeight="false" outlineLevel="0" collapsed="false">
      <c r="B9" s="5" t="s">
        <v>16</v>
      </c>
      <c r="C9" s="6"/>
      <c r="D9" s="10" t="n">
        <v>44276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12</v>
      </c>
      <c r="E10" s="11" t="n">
        <v>27</v>
      </c>
      <c r="F10" s="8" t="s">
        <v>15</v>
      </c>
      <c r="H10" s="12" t="n">
        <f aca="false">((E10/0.6)/100)+D10</f>
        <v>12.45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4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 t="s">
        <v>44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 t="s">
        <v>47</v>
      </c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48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 t="n">
        <v>1</v>
      </c>
      <c r="C3" s="33"/>
      <c r="E3" s="40" t="s">
        <v>72</v>
      </c>
      <c r="F3" s="41" t="n">
        <v>6</v>
      </c>
      <c r="H3" s="40" t="s">
        <v>72</v>
      </c>
      <c r="I3" s="41" t="n">
        <v>2</v>
      </c>
      <c r="K3" s="40" t="s">
        <v>73</v>
      </c>
      <c r="L3" s="41" t="n">
        <v>0</v>
      </c>
      <c r="N3" s="38" t="s">
        <v>74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72</v>
      </c>
      <c r="U3" s="42" t="n">
        <v>2</v>
      </c>
      <c r="V3" s="44" t="n">
        <f aca="false" t="array" ref="V3:V3">_xlfn.IFS(U3=1,4,U3=2,3,U3=3,2,U3=4,1)</f>
        <v>3</v>
      </c>
      <c r="X3" s="27" t="s">
        <v>72</v>
      </c>
      <c r="Y3" s="11" t="n">
        <v>5</v>
      </c>
      <c r="Z3" s="17" t="s">
        <v>75</v>
      </c>
      <c r="AB3" s="38" t="s">
        <v>72</v>
      </c>
      <c r="AC3" s="42" t="n">
        <v>2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1</v>
      </c>
      <c r="H4" s="40" t="s">
        <v>78</v>
      </c>
      <c r="I4" s="41" t="n">
        <v>2</v>
      </c>
      <c r="K4" s="40" t="s">
        <v>79</v>
      </c>
      <c r="L4" s="41" t="n">
        <v>0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3</v>
      </c>
      <c r="V4" s="44" t="n">
        <f aca="false">U4</f>
        <v>3</v>
      </c>
      <c r="X4" s="46" t="s">
        <v>78</v>
      </c>
      <c r="Y4" s="11" t="n">
        <v>3</v>
      </c>
      <c r="Z4" s="47" t="n">
        <f aca="false">Y3+Y5+Y7+Y11+Y12+Y14+Y16+Y18+Y19+Y21</f>
        <v>39</v>
      </c>
      <c r="AB4" s="38" t="s">
        <v>78</v>
      </c>
      <c r="AC4" s="42" t="n">
        <v>1</v>
      </c>
    </row>
    <row r="5" customFormat="false" ht="14.25" hidden="false" customHeight="false" outlineLevel="0" collapsed="false">
      <c r="A5" s="38" t="s">
        <v>78</v>
      </c>
      <c r="B5" s="42" t="n">
        <v>22</v>
      </c>
      <c r="C5" s="42" t="n">
        <v>0</v>
      </c>
      <c r="E5" s="40" t="s">
        <v>82</v>
      </c>
      <c r="F5" s="41" t="n">
        <v>1</v>
      </c>
      <c r="H5" s="40" t="s">
        <v>82</v>
      </c>
      <c r="I5" s="41" t="n">
        <v>2</v>
      </c>
      <c r="K5" s="40" t="s">
        <v>83</v>
      </c>
      <c r="L5" s="41" t="n">
        <v>0</v>
      </c>
      <c r="N5" s="48" t="s">
        <v>84</v>
      </c>
      <c r="O5" s="42" t="n">
        <v>10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0</v>
      </c>
      <c r="T5" s="38" t="s">
        <v>82</v>
      </c>
      <c r="U5" s="42" t="n">
        <v>3</v>
      </c>
      <c r="V5" s="44" t="n">
        <f aca="false" t="array" ref="V5:V5">_xlfn.IFS(U5=1,4,U5=2,3,U5=3,2,U5=4,1)</f>
        <v>2</v>
      </c>
      <c r="X5" s="27" t="s">
        <v>82</v>
      </c>
      <c r="Y5" s="11" t="n">
        <v>2</v>
      </c>
      <c r="AB5" s="38" t="s">
        <v>82</v>
      </c>
      <c r="AC5" s="42" t="n">
        <v>1</v>
      </c>
    </row>
    <row r="6" customFormat="false" ht="14.25" hidden="false" customHeight="false" outlineLevel="0" collapsed="false">
      <c r="A6" s="38" t="s">
        <v>82</v>
      </c>
      <c r="B6" s="42" t="n">
        <v>7</v>
      </c>
      <c r="C6" s="42" t="n">
        <v>0</v>
      </c>
      <c r="E6" s="40" t="s">
        <v>85</v>
      </c>
      <c r="F6" s="41" t="n">
        <v>5</v>
      </c>
      <c r="H6" s="40" t="s">
        <v>85</v>
      </c>
      <c r="I6" s="41" t="n">
        <v>3</v>
      </c>
      <c r="K6" s="40" t="s">
        <v>78</v>
      </c>
      <c r="L6" s="41" t="n">
        <v>3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4</v>
      </c>
      <c r="V6" s="44" t="n">
        <f aca="false">U6</f>
        <v>4</v>
      </c>
      <c r="X6" s="46" t="s">
        <v>85</v>
      </c>
      <c r="Y6" s="11" t="n">
        <v>3</v>
      </c>
      <c r="Z6" s="17" t="s">
        <v>87</v>
      </c>
      <c r="AB6" s="31" t="s">
        <v>88</v>
      </c>
      <c r="AC6" s="49" t="n">
        <f aca="false">SUM(AC3:AC5)</f>
        <v>4</v>
      </c>
    </row>
    <row r="7" customFormat="false" ht="14.25" hidden="false" customHeight="false" outlineLevel="0" collapsed="false">
      <c r="A7" s="38" t="s">
        <v>85</v>
      </c>
      <c r="B7" s="42" t="n">
        <v>7</v>
      </c>
      <c r="C7" s="42" t="n">
        <v>0</v>
      </c>
      <c r="E7" s="40" t="s">
        <v>89</v>
      </c>
      <c r="F7" s="41" t="n">
        <v>4</v>
      </c>
      <c r="H7" s="40" t="s">
        <v>89</v>
      </c>
      <c r="I7" s="41" t="n">
        <v>2</v>
      </c>
      <c r="K7" s="40" t="s">
        <v>82</v>
      </c>
      <c r="L7" s="41" t="n">
        <v>1</v>
      </c>
      <c r="N7" s="38" t="s">
        <v>90</v>
      </c>
      <c r="O7" s="42" t="n">
        <v>6</v>
      </c>
      <c r="P7" s="42" t="n">
        <v>30</v>
      </c>
      <c r="Q7" s="44" t="n">
        <f aca="false">((P7/0.6)/100)+O7</f>
        <v>6.5</v>
      </c>
      <c r="R7" s="44" t="n">
        <f aca="false">(Q8/(Q3+Q7))*100</f>
        <v>100</v>
      </c>
      <c r="T7" s="38" t="s">
        <v>89</v>
      </c>
      <c r="U7" s="42" t="n">
        <v>2</v>
      </c>
      <c r="V7" s="44" t="n">
        <f aca="false">U7</f>
        <v>2</v>
      </c>
      <c r="X7" s="27" t="s">
        <v>89</v>
      </c>
      <c r="Y7" s="11" t="n">
        <v>4</v>
      </c>
      <c r="Z7" s="47" t="n">
        <f aca="false">Y4+Y6+Y8+Y9+Y10+Y13+Y15+Y17+Y20+Y22</f>
        <v>16</v>
      </c>
    </row>
    <row r="8" customFormat="false" ht="14.25" hidden="false" customHeight="false" outlineLevel="0" collapsed="false">
      <c r="A8" s="38" t="s">
        <v>89</v>
      </c>
      <c r="B8" s="42" t="n">
        <v>6</v>
      </c>
      <c r="C8" s="42" t="n">
        <v>30</v>
      </c>
      <c r="E8" s="40" t="s">
        <v>91</v>
      </c>
      <c r="F8" s="41" t="n">
        <v>5</v>
      </c>
      <c r="H8" s="40" t="s">
        <v>91</v>
      </c>
      <c r="I8" s="41" t="n">
        <v>1</v>
      </c>
      <c r="K8" s="40" t="s">
        <v>85</v>
      </c>
      <c r="L8" s="41" t="n">
        <v>0</v>
      </c>
      <c r="N8" s="38" t="s">
        <v>92</v>
      </c>
      <c r="O8" s="42" t="n">
        <v>7</v>
      </c>
      <c r="P8" s="42" t="n">
        <v>30</v>
      </c>
      <c r="Q8" s="44" t="n">
        <f aca="false">((P8/0.6)/100)+O8</f>
        <v>7.5</v>
      </c>
      <c r="T8" s="38" t="s">
        <v>91</v>
      </c>
      <c r="U8" s="42" t="n">
        <v>1</v>
      </c>
      <c r="V8" s="44" t="n">
        <f aca="false" t="array" ref="V8:V8">_xlfn.IFS(U8=1,4,U8=2,3,U8=3,2,U8=4,1)</f>
        <v>4</v>
      </c>
      <c r="X8" s="46" t="s">
        <v>91</v>
      </c>
      <c r="Y8" s="11" t="n">
        <v>1</v>
      </c>
    </row>
    <row r="9" customFormat="false" ht="14.25" hidden="false" customHeight="false" outlineLevel="0" collapsed="false">
      <c r="A9" s="48" t="s">
        <v>91</v>
      </c>
      <c r="B9" s="42" t="n">
        <v>15</v>
      </c>
      <c r="C9" s="50"/>
      <c r="E9" s="40" t="s">
        <v>93</v>
      </c>
      <c r="F9" s="41" t="n">
        <v>3</v>
      </c>
      <c r="H9" s="40" t="s">
        <v>93</v>
      </c>
      <c r="I9" s="41" t="n">
        <v>1</v>
      </c>
      <c r="K9" s="40" t="s">
        <v>89</v>
      </c>
      <c r="L9" s="41" t="n">
        <v>0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1</v>
      </c>
      <c r="V9" s="44" t="n">
        <f aca="false" t="array" ref="V9:V9">_xlfn.IFS(U9=1,4,U9=2,3,U9=3,2,U9=4,1)</f>
        <v>4</v>
      </c>
      <c r="X9" s="46" t="s">
        <v>93</v>
      </c>
      <c r="Y9" s="11" t="n">
        <v>1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6</v>
      </c>
      <c r="H10" s="40" t="s">
        <v>94</v>
      </c>
      <c r="I10" s="41" t="n">
        <v>0</v>
      </c>
      <c r="K10" s="40" t="s">
        <v>95</v>
      </c>
      <c r="L10" s="52" t="n">
        <f aca="false">SUM(L3:L9)</f>
        <v>4</v>
      </c>
      <c r="N10" s="38" t="s">
        <v>96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95</v>
      </c>
      <c r="V10" s="49" t="n">
        <f aca="false">SUM(V3:V9)/7</f>
        <v>3.14285714285714</v>
      </c>
      <c r="X10" s="46" t="s">
        <v>94</v>
      </c>
      <c r="Y10" s="11" t="n">
        <v>1</v>
      </c>
    </row>
    <row r="11" customFormat="false" ht="14.25" hidden="false" customHeight="false" outlineLevel="0" collapsed="false">
      <c r="A11" s="48" t="s">
        <v>93</v>
      </c>
      <c r="B11" s="42" t="n">
        <v>3</v>
      </c>
      <c r="E11" s="40" t="s">
        <v>97</v>
      </c>
      <c r="F11" s="41" t="n">
        <v>5</v>
      </c>
      <c r="H11" s="40" t="s">
        <v>95</v>
      </c>
      <c r="I11" s="53" t="n">
        <f aca="false">SUM(I3:I10)</f>
        <v>13</v>
      </c>
      <c r="K11" s="40" t="s">
        <v>81</v>
      </c>
      <c r="L11" s="52" t="n">
        <f aca="false">SUM(GESTEP(L10,0),GESTEP(L10,8),GESTEP(L10,15),GESTEP(L10,22))</f>
        <v>1</v>
      </c>
      <c r="N11" s="38" t="s">
        <v>98</v>
      </c>
      <c r="O11" s="42" t="n">
        <v>1</v>
      </c>
      <c r="P11" s="44" t="n">
        <f aca="false">O11-1</f>
        <v>0</v>
      </c>
      <c r="X11" s="27" t="s">
        <v>97</v>
      </c>
      <c r="Y11" s="11" t="n">
        <v>4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4</v>
      </c>
      <c r="H12" s="40" t="s">
        <v>81</v>
      </c>
      <c r="I12" s="52" t="n">
        <f aca="false">SUM(GESTEP(I11,0),GESTEP(I11,6),GESTEP(I11,11),GESTEP(I11,13),GESTEP(I11,16))</f>
        <v>4</v>
      </c>
      <c r="N12" s="38" t="s">
        <v>99</v>
      </c>
      <c r="O12" s="42" t="n">
        <v>1</v>
      </c>
      <c r="P12" s="44" t="n">
        <f aca="false">O12-1</f>
        <v>0</v>
      </c>
      <c r="Q12" s="55" t="s">
        <v>100</v>
      </c>
      <c r="R12" s="56" t="n">
        <f aca="false">P20</f>
        <v>1</v>
      </c>
      <c r="X12" s="27" t="s">
        <v>101</v>
      </c>
      <c r="Y12" s="11" t="n">
        <v>4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0</v>
      </c>
      <c r="X13" s="46" t="s">
        <v>104</v>
      </c>
      <c r="Y13" s="11" t="n">
        <v>2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0</v>
      </c>
      <c r="X14" s="27" t="s">
        <v>107</v>
      </c>
      <c r="Y14" s="11" t="n">
        <v>4</v>
      </c>
    </row>
    <row r="15" customFormat="false" ht="14.25" hidden="false" customHeight="false" outlineLevel="0" collapsed="false">
      <c r="N15" s="38" t="s">
        <v>108</v>
      </c>
      <c r="O15" s="42" t="n">
        <v>1</v>
      </c>
      <c r="P15" s="44" t="n">
        <f aca="false">O15-1</f>
        <v>0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1</v>
      </c>
    </row>
    <row r="16" customFormat="false" ht="14.25" hidden="false" customHeight="false" outlineLevel="0" collapsed="false">
      <c r="N16" s="38" t="s">
        <v>111</v>
      </c>
      <c r="O16" s="42" t="n">
        <v>1</v>
      </c>
      <c r="P16" s="44" t="n">
        <f aca="false">O16-1</f>
        <v>0</v>
      </c>
      <c r="Q16" s="55" t="s">
        <v>112</v>
      </c>
      <c r="R16" s="56" t="n">
        <f aca="false" t="array" ref="R16:R16">_xlfn.IFS(Q21=0,0,Q21&gt;=1,1,Q21&gt;=10,2,Q21&gt;=19,3)</f>
        <v>0</v>
      </c>
      <c r="X16" s="27" t="s">
        <v>113</v>
      </c>
      <c r="Y16" s="11" t="n">
        <v>4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1</v>
      </c>
      <c r="P17" s="44" t="n">
        <f aca="false">O17-1</f>
        <v>0</v>
      </c>
      <c r="Q17" s="55" t="s">
        <v>116</v>
      </c>
      <c r="R17" s="56" t="n">
        <f aca="false">P21</f>
        <v>0</v>
      </c>
      <c r="X17" s="46" t="s">
        <v>117</v>
      </c>
      <c r="Y17" s="11" t="n">
        <v>2</v>
      </c>
    </row>
    <row r="18" customFormat="false" ht="14.25" hidden="false" customHeight="false" outlineLevel="0" collapsed="false">
      <c r="N18" s="38" t="s">
        <v>118</v>
      </c>
      <c r="O18" s="42" t="n">
        <v>1</v>
      </c>
      <c r="P18" s="44" t="n">
        <f aca="false">O18-1</f>
        <v>0</v>
      </c>
      <c r="Q18" s="55" t="s">
        <v>119</v>
      </c>
      <c r="R18" s="56" t="n">
        <f aca="false" t="array" ref="R18:R18">_xlfn.IFS(Q23=0,0,Q23&lt;=2,1,Q23&lt;=4,2,Q23&lt;=6,3)</f>
        <v>0</v>
      </c>
      <c r="X18" s="27" t="s">
        <v>120</v>
      </c>
      <c r="Y18" s="11" t="n">
        <v>3</v>
      </c>
    </row>
    <row r="19" customFormat="false" ht="14.25" hidden="false" customHeight="false" outlineLevel="0" collapsed="false">
      <c r="N19" s="38" t="s">
        <v>121</v>
      </c>
      <c r="O19" s="42" t="n">
        <v>1</v>
      </c>
      <c r="P19" s="44" t="n">
        <f aca="false">O19-1</f>
        <v>0</v>
      </c>
      <c r="Q19" s="37" t="s">
        <v>122</v>
      </c>
      <c r="R19" s="49" t="n">
        <f aca="false">SUM(R12:R18)</f>
        <v>1</v>
      </c>
      <c r="X19" s="27" t="s">
        <v>123</v>
      </c>
      <c r="Y19" s="11" t="n">
        <v>4</v>
      </c>
    </row>
    <row r="20" customFormat="false" ht="14.25" hidden="false" customHeight="false" outlineLevel="0" collapsed="false">
      <c r="N20" s="38" t="s">
        <v>124</v>
      </c>
      <c r="O20" s="42" t="n">
        <v>2</v>
      </c>
      <c r="P20" s="44" t="n">
        <f aca="false">O20-1</f>
        <v>1</v>
      </c>
      <c r="Q20" s="37" t="s">
        <v>125</v>
      </c>
      <c r="X20" s="46" t="s">
        <v>126</v>
      </c>
      <c r="Y20" s="11" t="n">
        <v>1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0</v>
      </c>
      <c r="X21" s="27" t="s">
        <v>128</v>
      </c>
      <c r="Y21" s="11" t="n">
        <v>5</v>
      </c>
    </row>
    <row r="22" customFormat="false" ht="14.25" hidden="false" customHeight="false" outlineLevel="0" collapsed="false">
      <c r="N22" s="38" t="s">
        <v>129</v>
      </c>
      <c r="O22" s="42" t="n">
        <v>1</v>
      </c>
      <c r="P22" s="44" t="n">
        <f aca="false">O22-1</f>
        <v>0</v>
      </c>
      <c r="Q22" s="35" t="s">
        <v>67</v>
      </c>
      <c r="X22" s="46" t="s">
        <v>130</v>
      </c>
      <c r="Y22" s="11" t="n">
        <v>1</v>
      </c>
    </row>
    <row r="23" customFormat="false" ht="14.25" hidden="false" customHeight="false" outlineLevel="0" collapsed="false">
      <c r="N23" s="38" t="s">
        <v>131</v>
      </c>
      <c r="O23" s="42" t="n">
        <v>1</v>
      </c>
      <c r="P23" s="44" t="n">
        <f aca="false">O23-1</f>
        <v>0</v>
      </c>
      <c r="Q23" s="43" t="n">
        <f aca="false">P23+P22</f>
        <v>0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1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</row>
    <row r="4" customFormat="false" ht="15" hidden="false" customHeight="false" outlineLevel="0" collapsed="false">
      <c r="A4" s="68" t="n">
        <v>44261</v>
      </c>
      <c r="B4" s="69" t="n">
        <v>1</v>
      </c>
      <c r="C4" s="70" t="n">
        <v>24</v>
      </c>
      <c r="D4" s="11" t="n">
        <v>23</v>
      </c>
      <c r="E4" s="11" t="n">
        <v>0</v>
      </c>
      <c r="F4" s="11" t="n">
        <v>0</v>
      </c>
      <c r="G4" s="71" t="n">
        <f aca="false">(E4/0.6)/100</f>
        <v>0</v>
      </c>
      <c r="H4" s="71" t="n">
        <f aca="false">(F4/0.6)/100</f>
        <v>0</v>
      </c>
      <c r="I4" s="71" t="n">
        <f aca="false">D4+G4+H4</f>
        <v>23</v>
      </c>
      <c r="J4" s="71" t="n">
        <f aca="false">C4-I4</f>
        <v>1</v>
      </c>
      <c r="K4" s="11" t="n">
        <v>8</v>
      </c>
      <c r="L4" s="11" t="n">
        <v>0</v>
      </c>
      <c r="M4" s="71" t="n">
        <f aca="false">(L4/0.6)/100</f>
        <v>0</v>
      </c>
      <c r="N4" s="71" t="n">
        <f aca="false">K4+M4</f>
        <v>8</v>
      </c>
      <c r="O4" s="71" t="n">
        <f aca="false">N4+J4</f>
        <v>9</v>
      </c>
      <c r="P4" s="71" t="n">
        <f aca="false">ROUNDDOWN(O4,0)</f>
        <v>9</v>
      </c>
      <c r="Q4" s="71" t="n">
        <f aca="false">(O4-P4)*0.6</f>
        <v>0</v>
      </c>
      <c r="R4" s="11" t="n">
        <v>4</v>
      </c>
      <c r="S4" s="71" t="n">
        <f aca="false">IF(R4&gt;0,R4-1,"")</f>
        <v>3</v>
      </c>
      <c r="T4" s="72" t="n">
        <f aca="false">P4</f>
        <v>9</v>
      </c>
      <c r="U4" s="72" t="n">
        <f aca="false">Q4*100</f>
        <v>0</v>
      </c>
    </row>
    <row r="5" customFormat="false" ht="15" hidden="false" customHeight="false" outlineLevel="0" collapsed="false">
      <c r="A5" s="68" t="n">
        <v>44262</v>
      </c>
      <c r="B5" s="69" t="n">
        <v>2</v>
      </c>
      <c r="C5" s="70" t="n">
        <v>24</v>
      </c>
      <c r="D5" s="11" t="n">
        <v>23</v>
      </c>
      <c r="E5" s="11" t="n">
        <v>0</v>
      </c>
      <c r="F5" s="11"/>
      <c r="G5" s="71" t="n">
        <f aca="false">(E5/0.6)/100</f>
        <v>0</v>
      </c>
      <c r="H5" s="71" t="n">
        <f aca="false">(F5/0.6)/100</f>
        <v>0</v>
      </c>
      <c r="I5" s="71" t="n">
        <f aca="false">D5+G5+H5</f>
        <v>23</v>
      </c>
      <c r="J5" s="71" t="n">
        <f aca="false">C5-I5</f>
        <v>1</v>
      </c>
      <c r="K5" s="11" t="n">
        <v>7</v>
      </c>
      <c r="L5" s="11" t="n">
        <v>30</v>
      </c>
      <c r="M5" s="71" t="n">
        <f aca="false">(L5/0.6)/100</f>
        <v>0.5</v>
      </c>
      <c r="N5" s="71" t="n">
        <f aca="false">K5+M5</f>
        <v>7.5</v>
      </c>
      <c r="O5" s="71" t="n">
        <f aca="false">N5+J5</f>
        <v>8.5</v>
      </c>
      <c r="P5" s="71" t="n">
        <f aca="false">ROUNDDOWN(O5,0)</f>
        <v>8</v>
      </c>
      <c r="Q5" s="71" t="n">
        <f aca="false">(O5-P5)*0.6</f>
        <v>0.3</v>
      </c>
      <c r="R5" s="11" t="n">
        <v>3</v>
      </c>
      <c r="S5" s="71" t="n">
        <f aca="false">IF(R5&gt;0,R5-1,"")</f>
        <v>2</v>
      </c>
      <c r="T5" s="72" t="n">
        <f aca="false">P5</f>
        <v>8</v>
      </c>
      <c r="U5" s="72" t="n">
        <f aca="false">Q5*100</f>
        <v>30</v>
      </c>
      <c r="AD5" s="73"/>
    </row>
    <row r="6" customFormat="false" ht="15" hidden="false" customHeight="false" outlineLevel="0" collapsed="false">
      <c r="A6" s="68" t="n">
        <v>44263</v>
      </c>
      <c r="B6" s="69" t="n">
        <v>3</v>
      </c>
      <c r="C6" s="70" t="n">
        <v>24</v>
      </c>
      <c r="D6" s="11" t="n">
        <v>23</v>
      </c>
      <c r="E6" s="11" t="n">
        <v>30</v>
      </c>
      <c r="F6" s="11" t="n">
        <v>0</v>
      </c>
      <c r="G6" s="71" t="n">
        <f aca="false">(E6/0.6)/100</f>
        <v>0.5</v>
      </c>
      <c r="H6" s="71" t="n">
        <f aca="false">(F6/0.6)/100</f>
        <v>0</v>
      </c>
      <c r="I6" s="71" t="n">
        <f aca="false">D6+G6+H6</f>
        <v>23.5</v>
      </c>
      <c r="J6" s="71" t="n">
        <f aca="false">C6-I6</f>
        <v>0.5</v>
      </c>
      <c r="K6" s="11" t="n">
        <v>8</v>
      </c>
      <c r="L6" s="11" t="n">
        <v>0</v>
      </c>
      <c r="M6" s="71" t="n">
        <f aca="false">(L6/0.6)/100</f>
        <v>0</v>
      </c>
      <c r="N6" s="71" t="n">
        <f aca="false">K6+M6</f>
        <v>8</v>
      </c>
      <c r="O6" s="71" t="n">
        <f aca="false">N6+J6</f>
        <v>8.5</v>
      </c>
      <c r="P6" s="71" t="n">
        <f aca="false">ROUNDDOWN(O6,0)</f>
        <v>8</v>
      </c>
      <c r="Q6" s="71" t="n">
        <f aca="false">(O6-P6)*0.6</f>
        <v>0.3</v>
      </c>
      <c r="R6" s="11" t="n">
        <v>4</v>
      </c>
      <c r="S6" s="71" t="n">
        <f aca="false">IF(R6&gt;0,R6-1,"")</f>
        <v>3</v>
      </c>
      <c r="T6" s="72" t="n">
        <f aca="false">P6</f>
        <v>8</v>
      </c>
      <c r="U6" s="72" t="n">
        <f aca="false">Q6*100</f>
        <v>30</v>
      </c>
      <c r="AD6" s="73"/>
    </row>
    <row r="7" customFormat="false" ht="16.4" hidden="false" customHeight="false" outlineLevel="0" collapsed="false">
      <c r="A7" s="68" t="n">
        <v>44264</v>
      </c>
      <c r="B7" s="69" t="n">
        <v>4</v>
      </c>
      <c r="C7" s="70" t="n">
        <v>24</v>
      </c>
      <c r="D7" s="11" t="n">
        <v>22</v>
      </c>
      <c r="E7" s="11" t="n">
        <v>0</v>
      </c>
      <c r="F7" s="11" t="n">
        <v>0</v>
      </c>
      <c r="G7" s="71" t="n">
        <f aca="false">(E7/0.6)/100</f>
        <v>0</v>
      </c>
      <c r="H7" s="71" t="n">
        <f aca="false">(F7/0.6)/100</f>
        <v>0</v>
      </c>
      <c r="I7" s="71" t="n">
        <f aca="false">D7+G7+H7</f>
        <v>22</v>
      </c>
      <c r="J7" s="71" t="n">
        <f aca="false">C7-I7</f>
        <v>2</v>
      </c>
      <c r="K7" s="11" t="n">
        <v>8</v>
      </c>
      <c r="L7" s="11" t="n">
        <v>0</v>
      </c>
      <c r="M7" s="71" t="n">
        <f aca="false">(L7/0.6)/100</f>
        <v>0</v>
      </c>
      <c r="N7" s="71" t="n">
        <f aca="false">K7+M7</f>
        <v>8</v>
      </c>
      <c r="O7" s="71" t="n">
        <f aca="false">N7+J7</f>
        <v>10</v>
      </c>
      <c r="P7" s="71" t="n">
        <f aca="false">ROUNDDOWN(O7,0)</f>
        <v>10</v>
      </c>
      <c r="Q7" s="71" t="n">
        <f aca="false">(O7-P7)*0.6</f>
        <v>0</v>
      </c>
      <c r="R7" s="11" t="n">
        <v>4</v>
      </c>
      <c r="S7" s="71" t="n">
        <f aca="false">IF(R7&gt;0,R7-1,"")</f>
        <v>3</v>
      </c>
      <c r="T7" s="72" t="n">
        <f aca="false">P7</f>
        <v>10</v>
      </c>
      <c r="U7" s="72" t="n">
        <f aca="false">Q7*100</f>
        <v>0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44265</v>
      </c>
      <c r="B8" s="69" t="n">
        <v>5</v>
      </c>
      <c r="C8" s="70" t="n">
        <v>24</v>
      </c>
      <c r="D8" s="11" t="n">
        <v>23</v>
      </c>
      <c r="E8" s="11" t="n">
        <v>0</v>
      </c>
      <c r="F8" s="11" t="n">
        <v>0</v>
      </c>
      <c r="G8" s="71" t="n">
        <f aca="false">(E8/0.6)/100</f>
        <v>0</v>
      </c>
      <c r="H8" s="71" t="n">
        <f aca="false">(F8/0.6)/100</f>
        <v>0</v>
      </c>
      <c r="I8" s="71" t="n">
        <f aca="false">D8+G8+H8</f>
        <v>23</v>
      </c>
      <c r="J8" s="71" t="n">
        <f aca="false">C8-I8</f>
        <v>1</v>
      </c>
      <c r="K8" s="11" t="n">
        <v>6</v>
      </c>
      <c r="L8" s="11" t="n">
        <v>30</v>
      </c>
      <c r="M8" s="71" t="n">
        <f aca="false">(L8/0.6)/100</f>
        <v>0.5</v>
      </c>
      <c r="N8" s="71" t="n">
        <f aca="false">K8+M8</f>
        <v>6.5</v>
      </c>
      <c r="O8" s="71" t="n">
        <f aca="false">N8+J8</f>
        <v>7.5</v>
      </c>
      <c r="P8" s="71" t="n">
        <f aca="false">ROUNDDOWN(O8,0)</f>
        <v>7</v>
      </c>
      <c r="Q8" s="71" t="n">
        <f aca="false">(O8-P8)*0.6</f>
        <v>0.3</v>
      </c>
      <c r="R8" s="11" t="n">
        <v>3</v>
      </c>
      <c r="S8" s="71" t="n">
        <f aca="false">IF(R8&gt;0,R8-1,"")</f>
        <v>2</v>
      </c>
      <c r="T8" s="72" t="n">
        <f aca="false">P8</f>
        <v>7</v>
      </c>
      <c r="U8" s="72" t="n">
        <f aca="false">Q8*100</f>
        <v>30</v>
      </c>
      <c r="W8" s="74" t="str">
        <f aca="false">IF(B1=1,"DP_NS_AVG","")</f>
        <v>DP_NS_AVG</v>
      </c>
      <c r="X8" s="73" t="n">
        <f aca="false">IF(B1=1,SUM(O8:O14)/(COUNT(O8:O14)),"")</f>
        <v>8.48809523809524</v>
      </c>
      <c r="Y8" s="73" t="n">
        <f aca="false">IF(B1=1,SUM(S8:S14)/COUNT(S8:S14),"")</f>
        <v>2.71428571428571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44266</v>
      </c>
      <c r="B9" s="69" t="n">
        <v>6</v>
      </c>
      <c r="C9" s="70" t="n">
        <v>24</v>
      </c>
      <c r="D9" s="11" t="n">
        <v>22</v>
      </c>
      <c r="E9" s="11" t="n">
        <v>45</v>
      </c>
      <c r="F9" s="11" t="n">
        <v>0</v>
      </c>
      <c r="G9" s="71" t="n">
        <f aca="false">(E9/0.6)/100</f>
        <v>0.75</v>
      </c>
      <c r="H9" s="71" t="n">
        <f aca="false">(F9/0.6)/100</f>
        <v>0</v>
      </c>
      <c r="I9" s="71" t="n">
        <f aca="false">D9+G9+H9</f>
        <v>22.75</v>
      </c>
      <c r="J9" s="71" t="n">
        <f aca="false">C9-I9</f>
        <v>1.25</v>
      </c>
      <c r="K9" s="11" t="n">
        <v>8</v>
      </c>
      <c r="L9" s="11" t="n">
        <v>30</v>
      </c>
      <c r="M9" s="71" t="n">
        <f aca="false">(L9/0.6)/100</f>
        <v>0.5</v>
      </c>
      <c r="N9" s="71" t="n">
        <f aca="false">K9+M9</f>
        <v>8.5</v>
      </c>
      <c r="O9" s="71" t="n">
        <f aca="false">N9+J9</f>
        <v>9.75</v>
      </c>
      <c r="P9" s="71" t="n">
        <f aca="false">ROUNDDOWN(O9,0)</f>
        <v>9</v>
      </c>
      <c r="Q9" s="71" t="n">
        <f aca="false">(O9-P9)*0.6</f>
        <v>0.45</v>
      </c>
      <c r="R9" s="11" t="n">
        <v>4</v>
      </c>
      <c r="S9" s="71" t="n">
        <f aca="false">IF(R9&gt;0,R9-1,"")</f>
        <v>3</v>
      </c>
      <c r="T9" s="72" t="n">
        <f aca="false">P9</f>
        <v>9</v>
      </c>
      <c r="U9" s="72" t="n">
        <f aca="false">Q9*100</f>
        <v>45</v>
      </c>
      <c r="W9" s="74" t="str">
        <f aca="false">IF(B1=1,"DP_P_AVG","")</f>
        <v>DP_P_AVG</v>
      </c>
      <c r="X9" s="73" t="n">
        <f aca="false">IF(B1=1,SUM(O15:O17)/(COUNT(O15:O17)),"")</f>
        <v>5.85</v>
      </c>
      <c r="Y9" s="73" t="n">
        <f aca="false">IF(B1=1,SUM(S15:S17)/COUNT(S15:S17),"")</f>
        <v>2.66666666666667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44267</v>
      </c>
      <c r="B10" s="69" t="n">
        <v>7</v>
      </c>
      <c r="C10" s="70" t="n">
        <v>24</v>
      </c>
      <c r="D10" s="11" t="n">
        <v>24</v>
      </c>
      <c r="E10" s="11" t="n">
        <v>30</v>
      </c>
      <c r="F10" s="11" t="n">
        <v>30</v>
      </c>
      <c r="G10" s="71" t="n">
        <f aca="false">(E10/0.6)/100</f>
        <v>0.5</v>
      </c>
      <c r="H10" s="71" t="n">
        <f aca="false">(F10/0.6)/100</f>
        <v>0.5</v>
      </c>
      <c r="I10" s="71" t="n">
        <f aca="false">D10+G10+H10</f>
        <v>25</v>
      </c>
      <c r="J10" s="71" t="n">
        <f aca="false">C10-I10</f>
        <v>-1</v>
      </c>
      <c r="K10" s="11" t="n">
        <v>7</v>
      </c>
      <c r="L10" s="11" t="n">
        <v>45</v>
      </c>
      <c r="M10" s="71" t="n">
        <f aca="false">(L10/0.6)/100</f>
        <v>0.75</v>
      </c>
      <c r="N10" s="71" t="n">
        <f aca="false">K10+M10</f>
        <v>7.75</v>
      </c>
      <c r="O10" s="71" t="n">
        <f aca="false">N10+J10</f>
        <v>6.75</v>
      </c>
      <c r="P10" s="71" t="n">
        <f aca="false">ROUNDDOWN(O10,0)</f>
        <v>6</v>
      </c>
      <c r="Q10" s="71" t="n">
        <f aca="false">(O10-P10)*0.6</f>
        <v>0.45</v>
      </c>
      <c r="R10" s="11" t="n">
        <v>5</v>
      </c>
      <c r="S10" s="71" t="n">
        <f aca="false">IF(R10&gt;0,R10-1,"")</f>
        <v>4</v>
      </c>
      <c r="T10" s="72" t="n">
        <f aca="false">P10</f>
        <v>6</v>
      </c>
      <c r="U10" s="72" t="n">
        <f aca="false">Q10*100</f>
        <v>45</v>
      </c>
      <c r="W10" s="74" t="str">
        <f aca="false">IF(B1=1,"NS_AVG","")</f>
        <v>NS_AVG</v>
      </c>
      <c r="X10" s="73" t="n">
        <f aca="false">IF(B1=1,SUM(O4:O10)/(COUNT(O4:O10)),"")</f>
        <v>8.57142857142857</v>
      </c>
      <c r="Y10" s="73" t="n">
        <f aca="false">IF(B1=1,SUM(S4:S10)/COUNT(S4:S10),"")</f>
        <v>2.85714285714286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44268</v>
      </c>
      <c r="B11" s="69" t="n">
        <v>8</v>
      </c>
      <c r="C11" s="63" t="n">
        <v>24</v>
      </c>
      <c r="D11" s="11" t="n">
        <v>22</v>
      </c>
      <c r="E11" s="11" t="n">
        <v>30</v>
      </c>
      <c r="F11" s="11" t="n">
        <v>5</v>
      </c>
      <c r="G11" s="71" t="n">
        <f aca="false">(E11/0.6)/100</f>
        <v>0.5</v>
      </c>
      <c r="H11" s="71" t="n">
        <f aca="false">(F11/0.6)/100</f>
        <v>0.0833333333333333</v>
      </c>
      <c r="I11" s="71" t="n">
        <f aca="false">D11+G11+H11</f>
        <v>22.5833333333333</v>
      </c>
      <c r="J11" s="71" t="n">
        <f aca="false">C11-I11</f>
        <v>1.41666666666667</v>
      </c>
      <c r="K11" s="11" t="n">
        <v>7</v>
      </c>
      <c r="L11" s="11" t="n">
        <v>45</v>
      </c>
      <c r="M11" s="71" t="n">
        <f aca="false">(L11/0.6)/100</f>
        <v>0.75</v>
      </c>
      <c r="N11" s="71" t="n">
        <f aca="false">K11+M11</f>
        <v>7.75</v>
      </c>
      <c r="O11" s="71" t="n">
        <f aca="false">N11+J11</f>
        <v>9.16666666666667</v>
      </c>
      <c r="P11" s="71" t="n">
        <f aca="false">ROUNDDOWN(O11,0)</f>
        <v>9</v>
      </c>
      <c r="Q11" s="71" t="n">
        <f aca="false">(O11-P11)*0.6</f>
        <v>0.100000000000001</v>
      </c>
      <c r="R11" s="11" t="n">
        <v>2</v>
      </c>
      <c r="S11" s="71" t="n">
        <f aca="false">IF(R11&gt;0,R11-1,"")</f>
        <v>1</v>
      </c>
      <c r="T11" s="72" t="n">
        <f aca="false">P11</f>
        <v>9</v>
      </c>
      <c r="U11" s="72" t="n">
        <f aca="false">Q11*100</f>
        <v>10.0000000000001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44269</v>
      </c>
      <c r="B12" s="69" t="n">
        <v>9</v>
      </c>
      <c r="C12" s="63" t="n">
        <v>24</v>
      </c>
      <c r="D12" s="11" t="n">
        <v>22</v>
      </c>
      <c r="E12" s="11" t="n">
        <v>30</v>
      </c>
      <c r="F12" s="11"/>
      <c r="G12" s="71" t="n">
        <f aca="false">(E12/0.6)/100</f>
        <v>0.5</v>
      </c>
      <c r="H12" s="71" t="n">
        <f aca="false">(F12/0.6)/100</f>
        <v>0</v>
      </c>
      <c r="I12" s="71" t="n">
        <f aca="false">D12+G12+H12</f>
        <v>22.5</v>
      </c>
      <c r="J12" s="71" t="n">
        <f aca="false">C12-I12</f>
        <v>1.5</v>
      </c>
      <c r="K12" s="11" t="n">
        <v>7</v>
      </c>
      <c r="L12" s="11" t="n">
        <v>50</v>
      </c>
      <c r="M12" s="71" t="n">
        <f aca="false">(L12/0.6)/100</f>
        <v>0.833333333333334</v>
      </c>
      <c r="N12" s="71" t="n">
        <f aca="false">K12+M12</f>
        <v>7.83333333333333</v>
      </c>
      <c r="O12" s="71" t="n">
        <f aca="false">N12+J12</f>
        <v>9.33333333333333</v>
      </c>
      <c r="P12" s="71" t="n">
        <f aca="false">ROUNDDOWN(O12,0)</f>
        <v>9</v>
      </c>
      <c r="Q12" s="71" t="n">
        <f aca="false">(O12-P12)*0.6</f>
        <v>0.2</v>
      </c>
      <c r="R12" s="11" t="n">
        <v>5</v>
      </c>
      <c r="S12" s="71" t="n">
        <f aca="false">IF(R12&gt;0,R12-1,"")</f>
        <v>4</v>
      </c>
      <c r="T12" s="72" t="n">
        <f aca="false">P12</f>
        <v>9</v>
      </c>
      <c r="U12" s="72" t="n">
        <f aca="false">Q12*100</f>
        <v>20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44270</v>
      </c>
      <c r="B13" s="69" t="n">
        <v>10</v>
      </c>
      <c r="C13" s="63" t="n">
        <v>24</v>
      </c>
      <c r="D13" s="11" t="n">
        <v>23</v>
      </c>
      <c r="E13" s="11" t="n">
        <v>0</v>
      </c>
      <c r="F13" s="11" t="n">
        <v>0</v>
      </c>
      <c r="G13" s="71" t="n">
        <f aca="false">(E13/0.6)/100</f>
        <v>0</v>
      </c>
      <c r="H13" s="71" t="n">
        <f aca="false">(F13/0.6)/100</f>
        <v>0</v>
      </c>
      <c r="I13" s="71" t="n">
        <f aca="false">D13+G13+H13</f>
        <v>23</v>
      </c>
      <c r="J13" s="71" t="n">
        <f aca="false">C13-I13</f>
        <v>1</v>
      </c>
      <c r="K13" s="11" t="n">
        <v>7</v>
      </c>
      <c r="L13" s="11" t="n">
        <v>55</v>
      </c>
      <c r="M13" s="71" t="n">
        <f aca="false">(L13/0.6)/100</f>
        <v>0.916666666666667</v>
      </c>
      <c r="N13" s="71" t="n">
        <f aca="false">K13+M13</f>
        <v>7.91666666666667</v>
      </c>
      <c r="O13" s="71" t="n">
        <f aca="false">N13+J13</f>
        <v>8.91666666666667</v>
      </c>
      <c r="P13" s="71" t="n">
        <f aca="false">ROUNDDOWN(O13,0)</f>
        <v>8</v>
      </c>
      <c r="Q13" s="71" t="n">
        <f aca="false">(O13-P13)*0.6</f>
        <v>0.550000000000001</v>
      </c>
      <c r="R13" s="11" t="n">
        <v>4</v>
      </c>
      <c r="S13" s="71" t="n">
        <f aca="false">IF(R13&gt;0,R13-1,"")</f>
        <v>3</v>
      </c>
      <c r="T13" s="72" t="n">
        <f aca="false">P13</f>
        <v>8</v>
      </c>
      <c r="U13" s="72" t="n">
        <f aca="false">Q13*100</f>
        <v>55.0000000000001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44271</v>
      </c>
      <c r="B14" s="69" t="n">
        <v>11</v>
      </c>
      <c r="C14" s="63" t="n">
        <v>24</v>
      </c>
      <c r="D14" s="11" t="n">
        <v>23</v>
      </c>
      <c r="E14" s="11" t="n">
        <v>0</v>
      </c>
      <c r="F14" s="11" t="n">
        <v>0</v>
      </c>
      <c r="G14" s="71" t="n">
        <f aca="false">(E14/0.6)/100</f>
        <v>0</v>
      </c>
      <c r="H14" s="71" t="n">
        <f aca="false">(F14/0.6)/100</f>
        <v>0</v>
      </c>
      <c r="I14" s="71" t="n">
        <f aca="false">D14+G14+H14</f>
        <v>23</v>
      </c>
      <c r="J14" s="71" t="n">
        <f aca="false">C14-I14</f>
        <v>1</v>
      </c>
      <c r="K14" s="11" t="n">
        <v>7</v>
      </c>
      <c r="L14" s="11" t="n">
        <v>0</v>
      </c>
      <c r="M14" s="71" t="n">
        <f aca="false">(L14/0.6)/100</f>
        <v>0</v>
      </c>
      <c r="N14" s="71" t="n">
        <f aca="false">K14+M14</f>
        <v>7</v>
      </c>
      <c r="O14" s="71" t="n">
        <f aca="false">N14+J14</f>
        <v>8</v>
      </c>
      <c r="P14" s="71" t="n">
        <f aca="false">ROUNDDOWN(O14,0)</f>
        <v>8</v>
      </c>
      <c r="Q14" s="71" t="n">
        <f aca="false">(O14-P14)*0.6</f>
        <v>0</v>
      </c>
      <c r="R14" s="11" t="n">
        <v>3</v>
      </c>
      <c r="S14" s="71" t="n">
        <f aca="false">IF(R14&gt;0,R14-1,"")</f>
        <v>2</v>
      </c>
      <c r="T14" s="72" t="n">
        <f aca="false">P14</f>
        <v>8</v>
      </c>
      <c r="U14" s="72" t="n">
        <f aca="false">Q14*100</f>
        <v>0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44272</v>
      </c>
      <c r="B15" s="69" t="n">
        <v>12</v>
      </c>
      <c r="C15" s="63" t="n">
        <v>24</v>
      </c>
      <c r="D15" s="11" t="n">
        <v>26</v>
      </c>
      <c r="E15" s="11" t="n">
        <v>0</v>
      </c>
      <c r="F15" s="11" t="n">
        <v>5</v>
      </c>
      <c r="G15" s="71" t="n">
        <f aca="false">(E15/0.6)/100</f>
        <v>0</v>
      </c>
      <c r="H15" s="71" t="n">
        <f aca="false">(F15/0.6)/100</f>
        <v>0.0833333333333333</v>
      </c>
      <c r="I15" s="71" t="n">
        <f aca="false">D15+G15+H15</f>
        <v>26.0833333333333</v>
      </c>
      <c r="J15" s="71" t="n">
        <f aca="false">C15-I15</f>
        <v>-2.08333333333333</v>
      </c>
      <c r="K15" s="11" t="n">
        <v>8</v>
      </c>
      <c r="L15" s="11" t="n">
        <v>0</v>
      </c>
      <c r="M15" s="71" t="n">
        <f aca="false">(L15/0.6)/100</f>
        <v>0</v>
      </c>
      <c r="N15" s="71" t="n">
        <f aca="false">K15+M15</f>
        <v>8</v>
      </c>
      <c r="O15" s="71" t="n">
        <f aca="false">N15+J15</f>
        <v>5.91666666666667</v>
      </c>
      <c r="P15" s="71" t="n">
        <f aca="false">ROUNDDOWN(O15,0)</f>
        <v>5</v>
      </c>
      <c r="Q15" s="71" t="n">
        <f aca="false">(O15-P15)*0.6</f>
        <v>0.550000000000001</v>
      </c>
      <c r="R15" s="11" t="n">
        <v>4</v>
      </c>
      <c r="S15" s="71" t="n">
        <f aca="false">IF(R15&gt;0,R15-1,"")</f>
        <v>3</v>
      </c>
      <c r="T15" s="72" t="n">
        <f aca="false">P15</f>
        <v>5</v>
      </c>
      <c r="U15" s="72" t="n">
        <f aca="false">Q15*100</f>
        <v>55.0000000000001</v>
      </c>
      <c r="W15" s="77" t="s">
        <v>251</v>
      </c>
      <c r="X15" s="78" t="n">
        <f aca="false" t="array" ref="X15:X15">_xlfn.IFS(B1=0,X12-X13,B1=1,X8-X9)</f>
        <v>2.63809523809524</v>
      </c>
      <c r="Y15" s="79" t="s">
        <v>252</v>
      </c>
      <c r="Z15" s="78" t="n">
        <f aca="false" t="array" ref="Z15:Z15">_xlfn.IFS(B1=0,X14-X13,B1=1,X10-X9)</f>
        <v>2.72142857142857</v>
      </c>
      <c r="AA15" s="80" t="s">
        <v>253</v>
      </c>
    </row>
    <row r="16" customFormat="false" ht="15" hidden="false" customHeight="false" outlineLevel="0" collapsed="false">
      <c r="A16" s="68" t="n">
        <v>44273</v>
      </c>
      <c r="B16" s="69" t="n">
        <v>13</v>
      </c>
      <c r="C16" s="63" t="n">
        <v>24</v>
      </c>
      <c r="D16" s="11" t="n">
        <v>26</v>
      </c>
      <c r="E16" s="11" t="n">
        <v>30</v>
      </c>
      <c r="F16" s="11" t="n">
        <v>2</v>
      </c>
      <c r="G16" s="71" t="n">
        <f aca="false">(E16/0.6)/100</f>
        <v>0.5</v>
      </c>
      <c r="H16" s="71" t="n">
        <f aca="false">(F16/0.6)/100</f>
        <v>0.0333333333333333</v>
      </c>
      <c r="I16" s="71" t="n">
        <f aca="false">D16+G16+H16</f>
        <v>26.5333333333333</v>
      </c>
      <c r="J16" s="71" t="n">
        <f aca="false">C16-I16</f>
        <v>-2.53333333333334</v>
      </c>
      <c r="K16" s="11" t="n">
        <v>8</v>
      </c>
      <c r="L16" s="11" t="n">
        <v>50</v>
      </c>
      <c r="M16" s="71" t="n">
        <f aca="false">(L16/0.6)/100</f>
        <v>0.833333333333334</v>
      </c>
      <c r="N16" s="71" t="n">
        <f aca="false">K16+M16</f>
        <v>8.83333333333333</v>
      </c>
      <c r="O16" s="71" t="n">
        <f aca="false">N16+J16</f>
        <v>6.3</v>
      </c>
      <c r="P16" s="71" t="n">
        <f aca="false">ROUNDDOWN(O16,0)</f>
        <v>6</v>
      </c>
      <c r="Q16" s="71" t="n">
        <f aca="false">(O16-P16)*0.6</f>
        <v>0.179999999999999</v>
      </c>
      <c r="R16" s="11" t="n">
        <v>4</v>
      </c>
      <c r="S16" s="71" t="n">
        <f aca="false">IF(R16&gt;0,R16-1,"")</f>
        <v>3</v>
      </c>
      <c r="T16" s="72" t="n">
        <f aca="false">P16</f>
        <v>6</v>
      </c>
      <c r="U16" s="72" t="n">
        <f aca="false">Q16*100</f>
        <v>17.9999999999999</v>
      </c>
      <c r="W16" s="9" t="s">
        <v>254</v>
      </c>
    </row>
    <row r="17" customFormat="false" ht="15" hidden="false" customHeight="false" outlineLevel="0" collapsed="false">
      <c r="A17" s="68" t="n">
        <v>44274</v>
      </c>
      <c r="B17" s="69" t="n">
        <v>14</v>
      </c>
      <c r="C17" s="63" t="n">
        <v>24</v>
      </c>
      <c r="D17" s="11" t="n">
        <v>26</v>
      </c>
      <c r="E17" s="11" t="n">
        <v>30</v>
      </c>
      <c r="F17" s="11" t="n">
        <v>0</v>
      </c>
      <c r="G17" s="71" t="n">
        <f aca="false">(E17/0.6)/100</f>
        <v>0.5</v>
      </c>
      <c r="H17" s="71" t="n">
        <f aca="false">(F17/0.6)/100</f>
        <v>0</v>
      </c>
      <c r="I17" s="71" t="n">
        <f aca="false">D17+G17+H17</f>
        <v>26.5</v>
      </c>
      <c r="J17" s="71" t="n">
        <f aca="false">C17-I17</f>
        <v>-2.5</v>
      </c>
      <c r="K17" s="11" t="n">
        <v>7</v>
      </c>
      <c r="L17" s="11" t="n">
        <v>50</v>
      </c>
      <c r="M17" s="71" t="n">
        <f aca="false">(L17/0.6)/100</f>
        <v>0.833333333333334</v>
      </c>
      <c r="N17" s="71" t="n">
        <f aca="false">K17+M17</f>
        <v>7.83333333333333</v>
      </c>
      <c r="O17" s="71" t="n">
        <f aca="false">N17+J17</f>
        <v>5.33333333333333</v>
      </c>
      <c r="P17" s="71" t="n">
        <f aca="false">ROUNDDOWN(O17,0)</f>
        <v>5</v>
      </c>
      <c r="Q17" s="71" t="n">
        <f aca="false">(O17-P17)*0.6</f>
        <v>0.2</v>
      </c>
      <c r="R17" s="11" t="n">
        <v>3</v>
      </c>
      <c r="S17" s="71" t="n">
        <f aca="false">IF(R17&gt;0,R17-1,"")</f>
        <v>2</v>
      </c>
      <c r="T17" s="72" t="n">
        <f aca="false">P17</f>
        <v>5</v>
      </c>
      <c r="U17" s="72" t="n">
        <f aca="false">Q17*100</f>
        <v>20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255</v>
      </c>
    </row>
    <row r="26" customFormat="false" ht="16.4" hidden="false" customHeight="false" outlineLevel="0" collapsed="false">
      <c r="B26" s="0" t="s">
        <v>256</v>
      </c>
      <c r="K26" s="0" t="s">
        <v>257</v>
      </c>
    </row>
    <row r="27" customFormat="false" ht="16.4" hidden="false" customHeight="false" outlineLevel="0" collapsed="false">
      <c r="B27" s="0" t="s">
        <v>258</v>
      </c>
      <c r="K27" s="0" t="s">
        <v>259</v>
      </c>
    </row>
    <row r="28" customFormat="false" ht="15" hidden="false" customHeight="false" outlineLevel="0" collapsed="false">
      <c r="B28" s="0" t="s">
        <v>260</v>
      </c>
    </row>
    <row r="62" customFormat="false" ht="15" hidden="false" customHeight="false" outlineLevel="0" collapsed="false">
      <c r="B62" s="0" t="s">
        <v>261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71"/>
  </cols>
  <sheetData>
    <row r="1" customFormat="false" ht="15" hidden="false" customHeight="false" outlineLevel="0" collapsed="false">
      <c r="A1" s="64" t="s">
        <v>232</v>
      </c>
      <c r="B1" s="9" t="s">
        <v>262</v>
      </c>
      <c r="C1" s="9" t="s">
        <v>263</v>
      </c>
      <c r="D1" s="9" t="s">
        <v>264</v>
      </c>
      <c r="E1" s="9" t="s">
        <v>265</v>
      </c>
      <c r="F1" s="9" t="s">
        <v>266</v>
      </c>
      <c r="G1" s="9" t="s">
        <v>267</v>
      </c>
      <c r="H1" s="9" t="s">
        <v>268</v>
      </c>
      <c r="I1" s="9" t="s">
        <v>269</v>
      </c>
    </row>
    <row r="2" customFormat="false" ht="15" hidden="false" customHeight="false" outlineLevel="0" collapsed="false">
      <c r="A2" s="68" t="n">
        <v>44263</v>
      </c>
      <c r="B2" s="81" t="n">
        <v>0.895833333333333</v>
      </c>
      <c r="C2" s="81" t="n">
        <v>0.958333333333333</v>
      </c>
      <c r="E2" s="0" t="n">
        <v>2</v>
      </c>
      <c r="G2" s="81" t="n">
        <v>0.333333333333333</v>
      </c>
      <c r="H2" s="81" t="n">
        <v>0.34375</v>
      </c>
      <c r="I2" s="0" t="n">
        <v>4</v>
      </c>
    </row>
    <row r="3" customFormat="false" ht="15" hidden="false" customHeight="false" outlineLevel="0" collapsed="false">
      <c r="A3" s="68" t="n">
        <v>44264</v>
      </c>
      <c r="B3" s="81" t="n">
        <v>0.916666666666667</v>
      </c>
      <c r="C3" s="81" t="n">
        <v>0.958333333333333</v>
      </c>
      <c r="E3" s="0" t="n">
        <v>2</v>
      </c>
      <c r="G3" s="81" t="n">
        <v>0.3125</v>
      </c>
      <c r="H3" s="81" t="n">
        <v>0.333333333333333</v>
      </c>
      <c r="I3" s="0" t="n">
        <v>3</v>
      </c>
    </row>
    <row r="4" customFormat="false" ht="15" hidden="false" customHeight="false" outlineLevel="0" collapsed="false">
      <c r="A4" s="68" t="n">
        <v>44265</v>
      </c>
      <c r="B4" s="81" t="n">
        <v>0.9375</v>
      </c>
      <c r="C4" s="81" t="n">
        <v>0.979166666666667</v>
      </c>
      <c r="E4" s="0" t="n">
        <v>3</v>
      </c>
      <c r="G4" s="81" t="n">
        <v>0.333333333333333</v>
      </c>
      <c r="H4" s="81" t="n">
        <v>0.333333333333333</v>
      </c>
      <c r="I4" s="0" t="n">
        <v>4</v>
      </c>
    </row>
    <row r="5" customFormat="false" ht="15" hidden="false" customHeight="false" outlineLevel="0" collapsed="false">
      <c r="A5" s="68" t="n">
        <v>44266</v>
      </c>
      <c r="B5" s="81" t="n">
        <v>0.895833333333333</v>
      </c>
      <c r="C5" s="81" t="n">
        <v>0.916666666666667</v>
      </c>
      <c r="E5" s="0" t="n">
        <v>3</v>
      </c>
      <c r="G5" s="81" t="n">
        <v>0.333333333333333</v>
      </c>
      <c r="H5" s="81" t="n">
        <v>0.333333333333333</v>
      </c>
      <c r="I5" s="0" t="n">
        <v>4</v>
      </c>
    </row>
    <row r="6" customFormat="false" ht="15" hidden="false" customHeight="false" outlineLevel="0" collapsed="false">
      <c r="A6" s="68" t="n">
        <v>44267</v>
      </c>
      <c r="B6" s="81" t="n">
        <v>0.916666666666667</v>
      </c>
      <c r="C6" s="81" t="n">
        <v>0.958333333333333</v>
      </c>
      <c r="E6" s="0" t="n">
        <v>4</v>
      </c>
      <c r="G6" s="81" t="n">
        <v>0.270833333333333</v>
      </c>
      <c r="H6" s="81" t="n">
        <v>0.28125</v>
      </c>
      <c r="I6" s="0" t="n">
        <v>3</v>
      </c>
    </row>
    <row r="7" customFormat="false" ht="15" hidden="false" customHeight="false" outlineLevel="0" collapsed="false">
      <c r="A7" s="68" t="n">
        <v>44268</v>
      </c>
      <c r="B7" s="81" t="n">
        <v>0.947916666666667</v>
      </c>
      <c r="C7" s="81" t="n">
        <v>0.979166666666667</v>
      </c>
      <c r="E7" s="0" t="n">
        <v>2</v>
      </c>
      <c r="G7" s="81" t="n">
        <v>0.354166666666667</v>
      </c>
      <c r="H7" s="81" t="n">
        <v>0.375</v>
      </c>
      <c r="I7" s="0" t="n">
        <v>4</v>
      </c>
    </row>
    <row r="8" customFormat="false" ht="15" hidden="false" customHeight="false" outlineLevel="0" collapsed="false">
      <c r="A8" s="68" t="n">
        <v>44269</v>
      </c>
      <c r="B8" s="81" t="n">
        <v>0.0208333333333333</v>
      </c>
      <c r="C8" s="81" t="n">
        <v>0.0208333333333333</v>
      </c>
      <c r="D8" s="0" t="n">
        <v>30</v>
      </c>
      <c r="E8" s="0" t="n">
        <v>4</v>
      </c>
      <c r="F8" s="0" t="n">
        <v>30</v>
      </c>
      <c r="G8" s="81" t="n">
        <v>0.322916666666667</v>
      </c>
      <c r="H8" s="81" t="n">
        <v>0.322916666666667</v>
      </c>
      <c r="I8" s="0" t="n">
        <v>2</v>
      </c>
    </row>
    <row r="9" customFormat="false" ht="15" hidden="false" customHeight="false" outlineLevel="0" collapsed="false">
      <c r="A9" s="68" t="n">
        <v>44270</v>
      </c>
      <c r="B9" s="81" t="n">
        <v>0.916666666666667</v>
      </c>
      <c r="C9" s="81" t="n">
        <v>0.9375</v>
      </c>
      <c r="D9" s="0" t="n">
        <v>5</v>
      </c>
      <c r="E9" s="0" t="n">
        <v>2</v>
      </c>
      <c r="F9" s="0" t="n">
        <v>5</v>
      </c>
      <c r="G9" s="81" t="n">
        <v>0.322916666666667</v>
      </c>
      <c r="H9" s="81" t="n">
        <v>0.333333333333333</v>
      </c>
      <c r="I9" s="0" t="n">
        <v>5</v>
      </c>
    </row>
    <row r="10" customFormat="false" ht="15" hidden="false" customHeight="false" outlineLevel="0" collapsed="false">
      <c r="A10" s="68" t="n">
        <v>44271</v>
      </c>
      <c r="B10" s="81" t="n">
        <v>0.916666666666667</v>
      </c>
      <c r="C10" s="81" t="n">
        <v>0.9375</v>
      </c>
      <c r="D10" s="0" t="n">
        <v>3</v>
      </c>
      <c r="G10" s="81" t="n">
        <v>0.330555555555556</v>
      </c>
      <c r="H10" s="81" t="n">
        <v>0.336805555555556</v>
      </c>
      <c r="I10" s="0" t="n">
        <v>5</v>
      </c>
    </row>
    <row r="11" customFormat="false" ht="15" hidden="false" customHeight="false" outlineLevel="0" collapsed="false">
      <c r="A11" s="68" t="n">
        <v>44272</v>
      </c>
      <c r="B11" s="81" t="n">
        <v>0.9375</v>
      </c>
      <c r="C11" s="81" t="n">
        <v>0.958333333333333</v>
      </c>
      <c r="G11" s="81" t="n">
        <v>0.329861111111111</v>
      </c>
      <c r="H11" s="81" t="n">
        <v>0.333333333333333</v>
      </c>
      <c r="I11" s="0" t="n">
        <v>4</v>
      </c>
    </row>
    <row r="12" customFormat="false" ht="15" hidden="false" customHeight="false" outlineLevel="0" collapsed="false">
      <c r="A12" s="68" t="n">
        <v>44273</v>
      </c>
      <c r="B12" s="81" t="n">
        <v>0.916666666666667</v>
      </c>
      <c r="C12" s="81" t="n">
        <v>0.958333333333333</v>
      </c>
      <c r="G12" s="81" t="n">
        <v>0.291666666666667</v>
      </c>
      <c r="H12" s="81" t="n">
        <v>0.333333333333333</v>
      </c>
      <c r="I12" s="0" t="n">
        <v>3</v>
      </c>
    </row>
    <row r="13" customFormat="false" ht="15" hidden="false" customHeight="false" outlineLevel="0" collapsed="false">
      <c r="A13" s="68" t="n">
        <v>44274</v>
      </c>
      <c r="B13" s="81" t="n">
        <v>0.0208333333333333</v>
      </c>
      <c r="C13" s="81" t="n">
        <v>0.0833333333333333</v>
      </c>
      <c r="D13" s="0" t="n">
        <v>5</v>
      </c>
      <c r="G13" s="81" t="n">
        <v>0.333333333333333</v>
      </c>
      <c r="H13" s="81" t="n">
        <v>0.373611111111111</v>
      </c>
      <c r="I13" s="0" t="n">
        <v>4</v>
      </c>
    </row>
    <row r="14" customFormat="false" ht="15" hidden="false" customHeight="false" outlineLevel="0" collapsed="false">
      <c r="A14" s="68" t="n">
        <v>44275</v>
      </c>
      <c r="B14" s="81" t="n">
        <v>0.0833333333333333</v>
      </c>
      <c r="C14" s="81" t="n">
        <v>0.104166666666667</v>
      </c>
      <c r="D14" s="0" t="n">
        <v>2</v>
      </c>
      <c r="G14" s="81" t="n">
        <v>0.368055555555556</v>
      </c>
      <c r="H14" s="81" t="n">
        <v>0.375</v>
      </c>
      <c r="I14" s="0" t="n">
        <v>4</v>
      </c>
    </row>
    <row r="15" customFormat="false" ht="15" hidden="false" customHeight="false" outlineLevel="0" collapsed="false">
      <c r="A15" s="68" t="n">
        <v>44276</v>
      </c>
      <c r="B15" s="81" t="n">
        <v>0.0833333333333333</v>
      </c>
      <c r="C15" s="81" t="n">
        <v>0.104166666666667</v>
      </c>
      <c r="G15" s="81" t="n">
        <v>0.295138888888889</v>
      </c>
      <c r="H15" s="81" t="n">
        <v>0.33125</v>
      </c>
      <c r="I1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270</v>
      </c>
      <c r="B1" s="82"/>
      <c r="C1" s="82"/>
      <c r="D1" s="82"/>
      <c r="E1" s="82"/>
      <c r="F1" s="82"/>
      <c r="G1" s="82"/>
      <c r="I1" s="83" t="s">
        <v>271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272</v>
      </c>
      <c r="E2" s="0" t="s">
        <v>273</v>
      </c>
      <c r="I2" s="0" t="s">
        <v>272</v>
      </c>
      <c r="M2" s="0" t="s">
        <v>273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2</v>
      </c>
      <c r="C4" s="17" t="s">
        <v>274</v>
      </c>
      <c r="E4" s="27" t="s">
        <v>72</v>
      </c>
      <c r="F4" s="11" t="n">
        <v>3</v>
      </c>
      <c r="G4" s="17" t="s">
        <v>274</v>
      </c>
      <c r="I4" s="27" t="s">
        <v>72</v>
      </c>
      <c r="J4" s="11" t="n">
        <v>4</v>
      </c>
      <c r="K4" s="17" t="s">
        <v>274</v>
      </c>
      <c r="M4" s="27" t="s">
        <v>72</v>
      </c>
      <c r="N4" s="11" t="n">
        <v>5</v>
      </c>
      <c r="O4" s="17" t="s">
        <v>274</v>
      </c>
    </row>
    <row r="5" customFormat="false" ht="15" hidden="false" customHeight="false" outlineLevel="0" collapsed="false">
      <c r="A5" s="46" t="s">
        <v>78</v>
      </c>
      <c r="B5" s="11" t="n">
        <v>1</v>
      </c>
      <c r="C5" s="47" t="n">
        <f aca="false">B4+B6+B8+B12+B13+B15+B17+B19+B20+B22</f>
        <v>21</v>
      </c>
      <c r="E5" s="46" t="s">
        <v>78</v>
      </c>
      <c r="F5" s="11" t="n">
        <v>1</v>
      </c>
      <c r="G5" s="47" t="n">
        <f aca="false">F4+F6+F8+F12+F13+F15+F17+F19+F20+F22</f>
        <v>18</v>
      </c>
      <c r="I5" s="46" t="s">
        <v>78</v>
      </c>
      <c r="J5" s="11" t="n">
        <v>1</v>
      </c>
      <c r="K5" s="47" t="n">
        <f aca="false">J4+J6+J8+J12+J13+J15+J17+J19+J20+J22</f>
        <v>31</v>
      </c>
      <c r="M5" s="46" t="s">
        <v>78</v>
      </c>
      <c r="N5" s="11" t="n">
        <v>1</v>
      </c>
      <c r="O5" s="47" t="n">
        <f aca="false">N4+N6+N8+N12+N13+N15+N17+N19+N20+N22</f>
        <v>26</v>
      </c>
    </row>
    <row r="6" customFormat="false" ht="15" hidden="false" customHeight="false" outlineLevel="0" collapsed="false">
      <c r="A6" s="27" t="s">
        <v>82</v>
      </c>
      <c r="B6" s="11" t="n">
        <v>1</v>
      </c>
      <c r="E6" s="27" t="s">
        <v>82</v>
      </c>
      <c r="F6" s="11" t="n">
        <v>1</v>
      </c>
      <c r="I6" s="27" t="s">
        <v>82</v>
      </c>
      <c r="J6" s="11" t="n">
        <v>1</v>
      </c>
      <c r="M6" s="27" t="s">
        <v>82</v>
      </c>
      <c r="N6" s="11" t="n">
        <v>1</v>
      </c>
    </row>
    <row r="7" customFormat="false" ht="15" hidden="false" customHeight="false" outlineLevel="0" collapsed="false">
      <c r="A7" s="46" t="s">
        <v>85</v>
      </c>
      <c r="B7" s="11" t="n">
        <v>1</v>
      </c>
      <c r="C7" s="17" t="s">
        <v>275</v>
      </c>
      <c r="E7" s="46" t="s">
        <v>85</v>
      </c>
      <c r="F7" s="11" t="n">
        <v>1</v>
      </c>
      <c r="G7" s="17" t="s">
        <v>275</v>
      </c>
      <c r="I7" s="46" t="s">
        <v>85</v>
      </c>
      <c r="J7" s="11" t="n">
        <v>1</v>
      </c>
      <c r="K7" s="17" t="s">
        <v>87</v>
      </c>
      <c r="M7" s="46" t="s">
        <v>85</v>
      </c>
      <c r="N7" s="11" t="n">
        <v>1</v>
      </c>
      <c r="O7" s="17" t="s">
        <v>275</v>
      </c>
    </row>
    <row r="8" customFormat="false" ht="15" hidden="false" customHeight="false" outlineLevel="0" collapsed="false">
      <c r="A8" s="27" t="s">
        <v>89</v>
      </c>
      <c r="B8" s="11" t="n">
        <v>2</v>
      </c>
      <c r="C8" s="47" t="n">
        <f aca="false">B5+B7+B9+B10+B11+B14+B16+B18+B21+B23</f>
        <v>10</v>
      </c>
      <c r="E8" s="27" t="s">
        <v>89</v>
      </c>
      <c r="F8" s="11" t="n">
        <v>2</v>
      </c>
      <c r="G8" s="47" t="n">
        <f aca="false">F5+F7+F9+F10+F11+F14+F16+F18+F21+F23</f>
        <v>10</v>
      </c>
      <c r="I8" s="27" t="s">
        <v>89</v>
      </c>
      <c r="J8" s="11" t="n">
        <v>4</v>
      </c>
      <c r="K8" s="47" t="n">
        <f aca="false">J5+J7+J9+J10+J11+J14+J16+J18+J21+J23</f>
        <v>10</v>
      </c>
      <c r="M8" s="27" t="s">
        <v>89</v>
      </c>
      <c r="N8" s="11" t="n">
        <v>3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91</v>
      </c>
      <c r="B9" s="11" t="n">
        <v>1</v>
      </c>
      <c r="E9" s="46" t="s">
        <v>91</v>
      </c>
      <c r="F9" s="11" t="n">
        <v>1</v>
      </c>
      <c r="I9" s="46" t="s">
        <v>91</v>
      </c>
      <c r="J9" s="11" t="n">
        <v>1</v>
      </c>
      <c r="M9" s="46" t="s">
        <v>91</v>
      </c>
      <c r="N9" s="11" t="n">
        <v>1</v>
      </c>
    </row>
    <row r="10" customFormat="false" ht="15" hidden="false" customHeight="false" outlineLevel="0" collapsed="false">
      <c r="A10" s="46" t="s">
        <v>93</v>
      </c>
      <c r="B10" s="11" t="n">
        <v>1</v>
      </c>
      <c r="E10" s="46" t="s">
        <v>93</v>
      </c>
      <c r="F10" s="11" t="n">
        <v>1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1</v>
      </c>
      <c r="E11" s="46" t="s">
        <v>94</v>
      </c>
      <c r="F11" s="11" t="n">
        <v>1</v>
      </c>
      <c r="I11" s="46" t="s">
        <v>94</v>
      </c>
      <c r="J11" s="11" t="n">
        <v>1</v>
      </c>
      <c r="M11" s="46" t="s">
        <v>94</v>
      </c>
      <c r="N11" s="11" t="n">
        <v>1</v>
      </c>
    </row>
    <row r="12" customFormat="false" ht="15" hidden="false" customHeight="false" outlineLevel="0" collapsed="false">
      <c r="A12" s="27" t="s">
        <v>97</v>
      </c>
      <c r="B12" s="11" t="n">
        <v>2</v>
      </c>
      <c r="E12" s="27" t="s">
        <v>97</v>
      </c>
      <c r="F12" s="11" t="n">
        <v>1</v>
      </c>
      <c r="I12" s="27" t="s">
        <v>97</v>
      </c>
      <c r="J12" s="11" t="n">
        <v>2</v>
      </c>
      <c r="M12" s="27" t="s">
        <v>97</v>
      </c>
      <c r="N12" s="11" t="n">
        <v>2</v>
      </c>
    </row>
    <row r="13" customFormat="false" ht="15" hidden="false" customHeight="false" outlineLevel="0" collapsed="false">
      <c r="A13" s="27" t="s">
        <v>101</v>
      </c>
      <c r="B13" s="11" t="n">
        <v>3</v>
      </c>
      <c r="E13" s="27" t="s">
        <v>101</v>
      </c>
      <c r="F13" s="11" t="n">
        <v>2</v>
      </c>
      <c r="I13" s="27" t="s">
        <v>101</v>
      </c>
      <c r="J13" s="11" t="n">
        <v>3</v>
      </c>
      <c r="M13" s="27" t="s">
        <v>101</v>
      </c>
      <c r="N13" s="11" t="n">
        <v>3</v>
      </c>
    </row>
    <row r="14" customFormat="false" ht="15" hidden="false" customHeight="false" outlineLevel="0" collapsed="false">
      <c r="A14" s="46" t="s">
        <v>104</v>
      </c>
      <c r="B14" s="11" t="n">
        <v>1</v>
      </c>
      <c r="E14" s="46" t="s">
        <v>104</v>
      </c>
      <c r="F14" s="11" t="n">
        <v>1</v>
      </c>
      <c r="I14" s="46" t="s">
        <v>104</v>
      </c>
      <c r="J14" s="11" t="n">
        <v>1</v>
      </c>
      <c r="M14" s="46" t="s">
        <v>104</v>
      </c>
      <c r="N14" s="11" t="n">
        <v>1</v>
      </c>
    </row>
    <row r="15" customFormat="false" ht="15" hidden="false" customHeight="false" outlineLevel="0" collapsed="false">
      <c r="A15" s="27" t="s">
        <v>107</v>
      </c>
      <c r="B15" s="11" t="n">
        <v>2</v>
      </c>
      <c r="E15" s="27" t="s">
        <v>107</v>
      </c>
      <c r="F15" s="11" t="n">
        <v>1</v>
      </c>
      <c r="I15" s="27" t="s">
        <v>107</v>
      </c>
      <c r="J15" s="11" t="n">
        <v>3</v>
      </c>
      <c r="M15" s="27" t="s">
        <v>107</v>
      </c>
      <c r="N15" s="11" t="n">
        <v>2</v>
      </c>
    </row>
    <row r="16" customFormat="false" ht="15" hidden="false" customHeight="false" outlineLevel="0" collapsed="false">
      <c r="A16" s="46" t="s">
        <v>110</v>
      </c>
      <c r="B16" s="11" t="n">
        <v>1</v>
      </c>
      <c r="E16" s="46" t="s">
        <v>110</v>
      </c>
      <c r="F16" s="11" t="n">
        <v>1</v>
      </c>
      <c r="I16" s="46" t="s">
        <v>110</v>
      </c>
      <c r="J16" s="11" t="n">
        <v>1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3</v>
      </c>
      <c r="E17" s="27" t="s">
        <v>113</v>
      </c>
      <c r="F17" s="11" t="n">
        <v>3</v>
      </c>
      <c r="I17" s="27" t="s">
        <v>113</v>
      </c>
      <c r="J17" s="11" t="n">
        <v>3</v>
      </c>
      <c r="M17" s="27" t="s">
        <v>113</v>
      </c>
      <c r="N17" s="11" t="n">
        <v>3</v>
      </c>
    </row>
    <row r="18" customFormat="false" ht="15" hidden="false" customHeight="false" outlineLevel="0" collapsed="false">
      <c r="A18" s="46" t="s">
        <v>117</v>
      </c>
      <c r="B18" s="11" t="n">
        <v>1</v>
      </c>
      <c r="E18" s="46" t="s">
        <v>117</v>
      </c>
      <c r="F18" s="11" t="n">
        <v>1</v>
      </c>
      <c r="I18" s="46" t="s">
        <v>117</v>
      </c>
      <c r="J18" s="11" t="n">
        <v>1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2</v>
      </c>
      <c r="E19" s="27" t="s">
        <v>120</v>
      </c>
      <c r="F19" s="11" t="n">
        <v>2</v>
      </c>
      <c r="I19" s="27" t="s">
        <v>120</v>
      </c>
      <c r="J19" s="11" t="n">
        <v>4</v>
      </c>
      <c r="M19" s="27" t="s">
        <v>120</v>
      </c>
      <c r="N19" s="11" t="n">
        <v>3</v>
      </c>
    </row>
    <row r="20" customFormat="false" ht="15" hidden="false" customHeight="false" outlineLevel="0" collapsed="false">
      <c r="A20" s="27" t="s">
        <v>123</v>
      </c>
      <c r="B20" s="11" t="n">
        <v>2</v>
      </c>
      <c r="E20" s="27" t="s">
        <v>123</v>
      </c>
      <c r="F20" s="11" t="n">
        <v>1</v>
      </c>
      <c r="I20" s="27" t="s">
        <v>123</v>
      </c>
      <c r="J20" s="11" t="n">
        <v>3</v>
      </c>
      <c r="M20" s="27" t="s">
        <v>123</v>
      </c>
      <c r="N20" s="11" t="n">
        <v>2</v>
      </c>
    </row>
    <row r="21" customFormat="false" ht="15" hidden="false" customHeight="false" outlineLevel="0" collapsed="false">
      <c r="A21" s="46" t="s">
        <v>126</v>
      </c>
      <c r="B21" s="11" t="n">
        <v>1</v>
      </c>
      <c r="E21" s="46" t="s">
        <v>126</v>
      </c>
      <c r="F21" s="11" t="n">
        <v>1</v>
      </c>
      <c r="I21" s="46" t="s">
        <v>126</v>
      </c>
      <c r="J21" s="11" t="n">
        <v>1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2</v>
      </c>
      <c r="E22" s="27" t="s">
        <v>128</v>
      </c>
      <c r="F22" s="11" t="n">
        <v>2</v>
      </c>
      <c r="I22" s="27" t="s">
        <v>128</v>
      </c>
      <c r="J22" s="11" t="n">
        <v>4</v>
      </c>
      <c r="M22" s="27" t="s">
        <v>128</v>
      </c>
      <c r="N22" s="11" t="n">
        <v>2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4" t="s">
        <v>276</v>
      </c>
    </row>
    <row r="3" customFormat="false" ht="15" hidden="false" customHeight="false" outlineLevel="0" collapsed="false">
      <c r="A3" s="22" t="s">
        <v>72</v>
      </c>
      <c r="B3" s="85"/>
      <c r="C3" s="9" t="s">
        <v>277</v>
      </c>
    </row>
    <row r="4" customFormat="false" ht="15" hidden="false" customHeight="false" outlineLevel="0" collapsed="false">
      <c r="A4" s="22" t="s">
        <v>172</v>
      </c>
      <c r="B4" s="11" t="n">
        <v>7</v>
      </c>
      <c r="C4" s="9" t="s">
        <v>278</v>
      </c>
    </row>
    <row r="5" customFormat="false" ht="15" hidden="false" customHeight="false" outlineLevel="0" collapsed="false">
      <c r="A5" s="22" t="s">
        <v>82</v>
      </c>
      <c r="B5" s="11" t="n">
        <v>5</v>
      </c>
      <c r="C5" s="9" t="s">
        <v>279</v>
      </c>
    </row>
    <row r="7" customFormat="false" ht="15" hidden="false" customHeight="false" outlineLevel="0" collapsed="false">
      <c r="A7" s="17" t="s">
        <v>280</v>
      </c>
    </row>
    <row r="8" customFormat="false" ht="15" hidden="false" customHeight="false" outlineLevel="0" collapsed="false">
      <c r="A8" s="5" t="s">
        <v>72</v>
      </c>
      <c r="B8" s="86" t="s">
        <v>281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6" t="s">
        <v>281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82</v>
      </c>
      <c r="B10" s="86" t="s">
        <v>282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6" t="s">
        <v>281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283</v>
      </c>
    </row>
    <row r="14" customFormat="false" ht="15" hidden="false" customHeight="false" outlineLevel="0" collapsed="false">
      <c r="A14" s="22" t="s">
        <v>284</v>
      </c>
      <c r="B14" s="11" t="n">
        <v>0</v>
      </c>
    </row>
    <row r="15" customFormat="false" ht="15" hidden="false" customHeight="false" outlineLevel="0" collapsed="false">
      <c r="A15" s="22" t="s">
        <v>285</v>
      </c>
      <c r="B15" s="11"/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4" t="s">
        <v>276</v>
      </c>
    </row>
    <row r="19" customFormat="false" ht="15" hidden="false" customHeight="false" outlineLevel="0" collapsed="false">
      <c r="A19" s="22" t="s">
        <v>72</v>
      </c>
      <c r="B19" s="85"/>
      <c r="C19" s="9" t="s">
        <v>277</v>
      </c>
    </row>
    <row r="20" customFormat="false" ht="15" hidden="false" customHeight="false" outlineLevel="0" collapsed="false">
      <c r="A20" s="22" t="s">
        <v>172</v>
      </c>
      <c r="B20" s="11" t="n">
        <v>4</v>
      </c>
      <c r="C20" s="9" t="s">
        <v>278</v>
      </c>
    </row>
    <row r="21" customFormat="false" ht="15" hidden="false" customHeight="false" outlineLevel="0" collapsed="false">
      <c r="A21" s="22" t="s">
        <v>82</v>
      </c>
      <c r="B21" s="11" t="n">
        <v>6</v>
      </c>
      <c r="C21" s="9" t="s">
        <v>279</v>
      </c>
    </row>
    <row r="23" customFormat="false" ht="15" hidden="false" customHeight="false" outlineLevel="0" collapsed="false">
      <c r="A23" s="17" t="s">
        <v>280</v>
      </c>
    </row>
    <row r="24" customFormat="false" ht="15" hidden="false" customHeight="false" outlineLevel="0" collapsed="false">
      <c r="A24" s="5" t="s">
        <v>72</v>
      </c>
      <c r="B24" s="86" t="s">
        <v>286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78</v>
      </c>
      <c r="B25" s="86" t="s">
        <v>281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82</v>
      </c>
      <c r="B26" s="86" t="s">
        <v>287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85</v>
      </c>
      <c r="B27" s="86" t="s">
        <v>281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283</v>
      </c>
    </row>
    <row r="30" customFormat="false" ht="15" hidden="false" customHeight="false" outlineLevel="0" collapsed="false">
      <c r="A30" s="22" t="s">
        <v>284</v>
      </c>
      <c r="B30" s="11" t="n">
        <v>2</v>
      </c>
    </row>
    <row r="31" customFormat="false" ht="15" hidden="false" customHeight="false" outlineLevel="0" collapsed="false">
      <c r="A31" s="22" t="s">
        <v>285</v>
      </c>
      <c r="B31" s="11" t="s">
        <v>288</v>
      </c>
    </row>
    <row r="38" customFormat="false" ht="15" hidden="false" customHeight="false" outlineLevel="0" collapsed="false">
      <c r="A38" s="4" t="s">
        <v>276</v>
      </c>
    </row>
    <row r="39" customFormat="false" ht="15" hidden="false" customHeight="false" outlineLevel="0" collapsed="false">
      <c r="A39" s="22" t="s">
        <v>289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290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291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292</v>
      </c>
    </row>
    <row r="44" customFormat="false" ht="15" hidden="false" customHeight="false" outlineLevel="0" collapsed="false">
      <c r="A44" s="22" t="s">
        <v>293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294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295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296</v>
      </c>
      <c r="B47" s="22"/>
      <c r="C47" s="22"/>
    </row>
    <row r="49" customFormat="false" ht="15" hidden="false" customHeight="false" outlineLevel="0" collapsed="false">
      <c r="A49" s="4" t="s">
        <v>297</v>
      </c>
    </row>
    <row r="50" customFormat="false" ht="16.4" hidden="false" customHeight="false" outlineLevel="0" collapsed="false">
      <c r="A50" s="5" t="s">
        <v>298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299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303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306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307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