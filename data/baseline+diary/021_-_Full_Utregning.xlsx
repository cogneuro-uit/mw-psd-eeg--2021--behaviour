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<sst xmlns="http://schemas.openxmlformats.org/spreadsheetml/2006/main" count="559" uniqueCount="311">
  <si>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</si>
  <si>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</si>
  <si>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</si>
  <si>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</si>
  <si>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</si>
  <si>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</si>
  <si>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</si>
  <si>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</si>
  <si>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</si>
  <si>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</si>
  <si>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</si>
  <si>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</si>
  <si>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</si>
  <si>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</si>
  <si>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</si>
  <si>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</si>
  <si>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</si>
  <si>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</si>
  <si>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</si>
  <si>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</si>
  <si>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</si>
  <si>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</si>
  <si>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</si>
  <si>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</si>
  <si>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</si>
  <si>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</si>
  <si>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</si>
  <si>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</si>
  <si>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</si>
  <si>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</si>
  <si>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</si>
  <si>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</si>
  <si>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</si>
  <si>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</si>
  <si>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</si>
  <si>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</si>
  <si>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</si>
  <si>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</si>
  <si>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</si>
  <si>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</si>
  <si>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</si>
  <si>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</si>
  <si>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EEG problems</t>
  </si>
  <si>
    <t xml:space="preserve">Noise during training</t>
  </si>
  <si>
    <t xml:space="preserve">Task-related comments</t>
  </si>
  <si>
    <t xml:space="preserve">Else</t>
  </si>
  <si>
    <t xml:space="preserve">Problems with retrieving data from actiwatch. Handed out  new watch at T1 </t>
  </si>
  <si>
    <t xml:space="preserve">Notes T2</t>
  </si>
  <si>
    <t xml:space="preserve">Participant move a lot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</si>
  <si>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</si>
  <si>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</si>
  <si>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</si>
  <si>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</si>
  <si>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</si>
  <si>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</si>
  <si>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</si>
  <si>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</si>
  <si>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</si>
  <si>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</si>
  <si>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</si>
  <si>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</si>
  <si>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</si>
  <si>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</si>
  <si>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</si>
  <si>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</si>
  <si>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</si>
  <si>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</si>
  <si>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</si>
  <si>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</si>
  <si>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</si>
  <si>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</si>
  <si>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</si>
  <si>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</si>
  <si>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</si>
  <si>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</si>
  <si>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</si>
  <si>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</si>
  <si>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</si>
  <si>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</si>
  <si>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</si>
  <si>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</si>
  <si>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</si>
  <si>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</si>
  <si>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</si>
  <si>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</si>
  <si>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</si>
  <si>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</si>
  <si>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</si>
  <si>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</si>
  <si>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</si>
  <si>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</si>
  <si>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</si>
  <si>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</si>
  <si>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</si>
  <si>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</si>
  <si>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</si>
  <si>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</si>
  <si>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</si>
  <si>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</si>
  <si>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</si>
  <si>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</si>
  <si>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</si>
  <si>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</si>
  <si>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</si>
  <si>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</si>
  <si>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</si>
  <si>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</si>
  <si>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</si>
  <si>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</si>
  <si>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</si>
  <si>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</si>
  <si>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</si>
  <si>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</si>
  <si>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</si>
  <si>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</si>
  <si>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</si>
  <si>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</si>
  <si>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</si>
  <si>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</si>
  <si>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</si>
  <si>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</si>
  <si>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</si>
  <si>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</si>
  <si>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</si>
  <si>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</si>
  <si>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</si>
  <si>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</si>
  <si>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</si>
  <si>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</si>
  <si>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</si>
  <si>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</si>
  <si>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</si>
  <si>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</si>
  <si>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</si>
  <si>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</si>
  <si>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</si>
  <si>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</si>
  <si>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</si>
  <si>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</si>
  <si>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</si>
  <si>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</si>
  <si>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</si>
  <si>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</si>
  <si>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</si>
  <si>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</si>
  <si>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</si>
  <si>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</si>
  <si>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</si>
  <si>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</si>
  <si>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</si>
  <si>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</si>
  <si>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</si>
  <si>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</si>
  <si>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</si>
  <si>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</si>
  <si>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</si>
  <si>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</si>
  <si>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</si>
  <si>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</si>
  <si>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</si>
  <si>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</si>
  <si>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</si>
  <si>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</si>
  <si>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</si>
  <si>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</si>
  <si>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</si>
  <si>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</si>
  <si>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</si>
  <si>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</si>
  <si>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</si>
  <si>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</si>
  <si>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</si>
  <si>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</si>
  <si>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</si>
  <si>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</si>
  <si>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</si>
  <si>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</si>
  <si>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</si>
  <si>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</si>
  <si>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</si>
  <si>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</si>
  <si>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</si>
  <si>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</si>
  <si>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</si>
  <si>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</si>
  <si>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</si>
  <si>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</si>
  <si>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</si>
  <si>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</si>
  <si>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</si>
  <si>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</si>
  <si>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</si>
  <si>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</si>
  <si>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</si>
  <si>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</si>
  <si>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</si>
  <si>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</si>
  <si>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</si>
  <si>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</si>
  <si>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</si>
  <si>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</si>
  <si>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</si>
  <si>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</si>
  <si>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</si>
  <si>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</si>
  <si>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</si>
  <si>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</si>
  <si>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</si>
  <si>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</si>
  <si>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</si>
  <si>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</si>
  <si>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</si>
  <si>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</si>
  <si>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</si>
  <si>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</si>
  <si>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</si>
  <si>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</si>
  <si>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</si>
  <si>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</si>
  <si>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</si>
  <si>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</si>
  <si>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</si>
  <si>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</si>
  <si>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</si>
  <si>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</si>
  <si>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</si>
  <si>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</si>
  <si>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</si>
  <si>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</si>
  <si>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</si>
  <si>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</si>
  <si>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</si>
  <si>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</si>
  <si>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</si>
  <si>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</si>
  <si>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</si>
  <si>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</si>
  <si>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</si>
  <si>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</si>
  <si>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</si>
  <si>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</si>
  <si>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</si>
  <si>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</si>
  <si>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</si>
  <si>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</si>
  <si>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</si>
  <si>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</si>
  <si>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</si>
  <si>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</si>
  <si>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</si>
  <si>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</si>
  <si>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Forskjell</t>
  </si>
  <si>
    <t xml:space="preserve">DP_NS - DP_P</t>
  </si>
  <si>
    <t xml:space="preserve">NS - DP_P</t>
  </si>
  <si>
    <t xml:space="preserve">Bør være 3, i alle fall over 2 (rundt 1 er questionable)</t>
  </si>
  <si>
    <t xml:space="preserve">Notat: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</si>
  <si>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</si>
  <si>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</si>
  <si>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</si>
  <si>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</si>
  <si>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</si>
  <si>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</si>
  <si>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</si>
  <si>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</si>
  <si>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</si>
  <si>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</si>
  <si>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</si>
  <si>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</si>
  <si>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</si>
  <si>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</si>
  <si>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</si>
  <si>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</si>
  <si>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</si>
  <si>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</si>
  <si>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</si>
  <si>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</si>
  <si>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</si>
  <si>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</si>
  <si>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NOT RELEVANT - HAS NOT BEEN USED (1 - ikke i det hele tatt, 7 - ekstremt)</t>
  </si>
  <si>
    <t xml:space="preserve">(1 - ikke motivert, 7 - veldig motivert)</t>
  </si>
  <si>
    <t xml:space="preserve">(1 - ikke i det hele tatt, 7 - ekstremt)</t>
  </si>
  <si>
    <t xml:space="preserve">Open Feedback</t>
  </si>
  <si>
    <t xml:space="preserve">Prøvde å telle -&gt; å ikke få det for likt slik hun hadde trykt tidligere</t>
  </si>
  <si>
    <t xml:space="preserve">ei</t>
  </si>
  <si>
    <t xml:space="preserve">noe fysiskt i rommet - eks. en stol eller et bord.  Sang på hjernen</t>
  </si>
  <si>
    <t xml:space="preserve">Nei</t>
  </si>
  <si>
    <t xml:space="preserve">Miniquiz</t>
  </si>
  <si>
    <t xml:space="preserve">Quiz feil (antall)</t>
  </si>
  <si>
    <t xml:space="preserve">Hvilket spørsmål?</t>
  </si>
  <si>
    <t xml:space="preserve">Prøvde å få 50/50 uten å trykk det samme</t>
  </si>
  <si>
    <t xml:space="preserve">nei</t>
  </si>
  <si>
    <t xml:space="preserve">Skole relatert, rydde rommet</t>
  </si>
  <si>
    <t xml:space="preserve">Q1 - vennligst evaluer i hvilken grad du ble distrahert av å ha på deg engangshansker i løpet av oppgaven:</t>
  </si>
  <si>
    <t xml:space="preserve">Q2 - Vennligst vurder hvor motivert du var til å produsere tilfeldige sekvenser da eksperimentet startet:</t>
  </si>
  <si>
    <t xml:space="preserve">Q3 - Når du svarte på spørsmålet om hvor fokusert du var på oppgaven, hvor sikker var du på svaret ditt? </t>
  </si>
  <si>
    <t xml:space="preserve">Open Feedback:</t>
  </si>
  <si>
    <t xml:space="preserve">Q1 - Bruke du noen spesiell strategi for å lage en tilfeldig sekvens?</t>
  </si>
  <si>
    <t xml:space="preserve">Q2 - Har du noen bemerkninger angående oppgaven i seg selv</t>
  </si>
  <si>
    <t xml:space="preserve">Q3 - Når du rapporterte å ikke være fokusert på oppgaven (OFF-TASK), hva tenkte du på da?</t>
  </si>
  <si>
    <t xml:space="preserve">Q4 - Har du noen andre kommentarer?</t>
  </si>
  <si>
    <t xml:space="preserve">Miniquiz:</t>
  </si>
  <si>
    <r>
      <rPr>
        <sz val="11"/>
        <color theme="1"/>
        <rFont val="Calibri"/>
        <family val="2"/>
        <charset val="1"/>
      </rPr>
      <t xml:space="preserve">1 - Vil alltid et høyretrykk følge et venstretrykk? 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</si>
  <si>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2 - Hvis det har vært tre høyretrykk, må det da alltid følge et venstretrykk?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</si>
  <si>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3 - Hvis jeg, mens jeg gjorde oppgaven, tenkte på en film jeg har sett på kino, var tankene mine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</si>
  <si>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4 - Hvis jeg, mens jeg gjorde oppgaven, tenkte på hva jeg skal spise til middag i morgen,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</si>
  <si>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5 - Hvis jeg, mens jeg gjorde oppgaven, telte antall høyre og venstre trykk i hodet, var disse tankene i kategorien: (SVAR: </t>
    </r>
    <r>
      <rPr>
        <sz val="11"/>
        <color theme="9"/>
        <rFont val="Calibri"/>
        <family val="2"/>
        <charset val="1"/>
      </rPr>
      <t xml:space="preserve">Helt klart fokusert på oppgaven,</t>
    </r>
    <r>
      <rPr>
        <sz val="11"/>
        <color theme="1"/>
        <rFont val="Calibri"/>
        <family val="2"/>
        <charset val="1"/>
      </rPr>
      <t xml:space="preserve"> helt klart ikke fokusert på oppgaven)</t>
    </r>
  </si>
  <si>
    <r>
      <rPr>
        <sz val="11"/>
        <color theme="1"/>
        <rFont val="Calibri"/>
        <family val="2"/>
        <charset val="1"/>
      </rPr>
      <t xml:space="preserve">6 - Hvis jeg, mens jeg gjorde oppgaven, tenkte på hvor kald gelen på hodet var, var disse tankene i kategorien: (SVAR: Helt klart fokusert på oppgaven,</t>
    </r>
    <r>
      <rPr>
        <sz val="11"/>
        <color theme="9"/>
        <rFont val="Calibri"/>
        <family val="2"/>
        <charset val="1"/>
      </rPr>
      <t xml:space="preserve"> 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</si>
  <si>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7 - Hvis jeg, mens jeg gjorde oppgaven, tenkte på hvor enkel eller hvor vanskelig oppgaven var,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</si>
  <si>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8 - Hvis jeg, mens jeg gjorde oppgaven, ikke tenkte på oppgaven, men følte at tankene mine var tomme, var disse tankene i kategorien: (SVAR: Helt klart noe spesifikt, </t>
    </r>
    <r>
      <rPr>
        <sz val="11"/>
        <color theme="9"/>
        <rFont val="Calibri"/>
        <family val="2"/>
        <charset val="1"/>
      </rPr>
      <t xml:space="preserve">helt klart ingenting)</t>
    </r>
  </si>
  <si>
    <r>
      <rPr>
        <sz val="11"/>
        <color theme="1"/>
        <rFont val="Calibri"/>
        <family val="2"/>
        <charset val="1"/>
      </rPr>
      <t xml:space="preserve">9 - Hvis jeg, mens jeg gjorde oppgaven, prøvde å fokusere på oppgaven, men tankende mine vandret til noe annet, var disse tankene i kategorien: (SVAR: Helt klart bevisst, </t>
    </r>
    <r>
      <rPr>
        <sz val="11"/>
        <color theme="9"/>
        <rFont val="Calibri"/>
        <family val="2"/>
        <charset val="1"/>
      </rPr>
      <t xml:space="preserve">helt klart spontane</t>
    </r>
    <r>
      <rPr>
        <sz val="11"/>
        <color theme="1"/>
        <rFont val="Calibri"/>
        <family val="2"/>
        <charset val="1"/>
      </rPr>
      <t xml:space="preserve">) </t>
    </r>
  </si>
  <si>
    <r>
      <rPr>
        <sz val="11"/>
        <color theme="1"/>
        <rFont val="Calibri"/>
        <family val="2"/>
        <charset val="1"/>
      </rPr>
      <t xml:space="preserve">10 - Tonen jeg hører angir når jeg skal trykke på en knapp (SVAR: </t>
    </r>
    <r>
      <rPr>
        <sz val="11"/>
        <color theme="9"/>
        <rFont val="Calibri"/>
        <family val="2"/>
        <charset val="1"/>
      </rPr>
      <t xml:space="preserve">Ja</t>
    </r>
    <r>
      <rPr>
        <sz val="11"/>
        <color theme="1"/>
        <rFont val="Calibri"/>
        <family val="2"/>
        <charset val="1"/>
      </rPr>
      <t xml:space="preserve">, Nei, Vet ikke)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</si>
</sst>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0"/>
    <numFmt numFmtId="168" formatCode="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color theme="9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B15" activeCellId="0" sqref="B15:D16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29.86"/>
    <col collapsed="false" customWidth="true" hidden="false" outlineLevel="0" max="3" min="3" style="0" width="4.86"/>
    <col collapsed="false" customWidth="true" hidden="false" outlineLevel="0" max="4" min="4" style="0" width="11.15"/>
    <col collapsed="false" customWidth="true" hidden="false" outlineLevel="0" max="5" min="5" style="0" width="4.86"/>
  </cols>
  <sheetData>
    <row r="1" customFormat="false" ht="1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6.4" hidden="false" customHeight="false" outlineLevel="0" collapsed="false">
      <c r="B2" s="5" t="s">
        <v>2</v>
      </c>
      <c r="C2" s="6"/>
      <c r="D2" s="7" t="n">
        <v>21</v>
      </c>
      <c r="F2" s="8" t="s">
        <v>3</v>
      </c>
    </row>
    <row r="3" customFormat="false" ht="16.4" hidden="false" customHeight="false" outlineLevel="0" collapsed="false">
      <c r="B3" s="5" t="s">
        <v>4</v>
      </c>
      <c r="C3" s="6"/>
      <c r="D3" s="7" t="n">
        <v>20</v>
      </c>
      <c r="F3" s="9" t="s">
        <v>5</v>
      </c>
    </row>
    <row r="4" customFormat="false" ht="16.4" hidden="false" customHeight="false" outlineLevel="0" collapsed="false">
      <c r="B4" s="5" t="s">
        <v>6</v>
      </c>
      <c r="C4" s="6"/>
      <c r="D4" s="7" t="n">
        <v>1</v>
      </c>
      <c r="F4" s="8" t="s">
        <v>7</v>
      </c>
    </row>
    <row r="5" customFormat="false" ht="16.4" hidden="false" customHeight="false" outlineLevel="0" collapsed="false">
      <c r="B5" s="5" t="s">
        <v>8</v>
      </c>
      <c r="C5" s="6"/>
      <c r="D5" s="7" t="n">
        <v>0</v>
      </c>
      <c r="F5" s="8" t="s">
        <v>9</v>
      </c>
    </row>
    <row r="6" customFormat="false" ht="16.4" hidden="false" customHeight="false" outlineLevel="0" collapsed="false">
      <c r="B6" s="5" t="s">
        <v>10</v>
      </c>
      <c r="C6" s="6"/>
      <c r="D6" s="7" t="n">
        <v>0</v>
      </c>
      <c r="F6" s="8" t="s">
        <v>11</v>
      </c>
    </row>
    <row r="7" customFormat="false" ht="15" hidden="false" customHeight="false" outlineLevel="0" collapsed="false">
      <c r="B7" s="5" t="s">
        <v>12</v>
      </c>
      <c r="C7" s="6"/>
      <c r="D7" s="10" t="n">
        <v>44315</v>
      </c>
      <c r="F7" s="8" t="s">
        <v>13</v>
      </c>
    </row>
    <row r="8" customFormat="false" ht="15" hidden="false" customHeight="false" outlineLevel="0" collapsed="false">
      <c r="B8" s="5" t="s">
        <v>14</v>
      </c>
      <c r="C8" s="6"/>
      <c r="D8" s="7" t="n">
        <v>18</v>
      </c>
      <c r="E8" s="11" t="n">
        <v>25</v>
      </c>
      <c r="F8" s="8" t="s">
        <v>15</v>
      </c>
      <c r="H8" s="12" t="n">
        <f aca="false">((E8/0.6)/100)+D8</f>
        <v>18.4166666666667</v>
      </c>
    </row>
    <row r="9" customFormat="false" ht="15" hidden="false" customHeight="false" outlineLevel="0" collapsed="false">
      <c r="B9" s="5" t="s">
        <v>16</v>
      </c>
      <c r="C9" s="6"/>
      <c r="D9" s="10" t="n">
        <v>44322</v>
      </c>
      <c r="F9" s="8" t="s">
        <v>13</v>
      </c>
    </row>
    <row r="10" customFormat="false" ht="15" hidden="false" customHeight="false" outlineLevel="0" collapsed="false">
      <c r="B10" s="5" t="s">
        <v>17</v>
      </c>
      <c r="C10" s="6"/>
      <c r="D10" s="7" t="n">
        <v>19</v>
      </c>
      <c r="E10" s="11" t="n">
        <v>45</v>
      </c>
      <c r="F10" s="8" t="s">
        <v>15</v>
      </c>
      <c r="H10" s="12" t="n">
        <f aca="false">((E10/0.6)/100)+D10</f>
        <v>19.75</v>
      </c>
    </row>
    <row r="11" customFormat="false" ht="16.4" hidden="false" customHeight="false" outlineLevel="0" collapsed="false">
      <c r="B11" s="5" t="s">
        <v>18</v>
      </c>
      <c r="C11" s="6"/>
      <c r="D11" s="7" t="n">
        <v>0</v>
      </c>
      <c r="F11" s="8" t="s">
        <v>19</v>
      </c>
    </row>
    <row r="12" customFormat="false" ht="15" hidden="false" customHeight="false" outlineLevel="0" collapsed="false">
      <c r="B12" s="5" t="s">
        <v>20</v>
      </c>
      <c r="C12" s="6"/>
      <c r="D12" s="7" t="n">
        <v>0</v>
      </c>
      <c r="F12" s="8" t="s">
        <v>21</v>
      </c>
    </row>
    <row r="13" customFormat="false" ht="15" hidden="false" customHeight="false" outlineLevel="0" collapsed="false">
      <c r="B13" s="5" t="s">
        <v>22</v>
      </c>
      <c r="C13" s="6"/>
      <c r="D13" s="13" t="n">
        <v>0</v>
      </c>
      <c r="F13" s="8" t="s">
        <v>23</v>
      </c>
      <c r="H13" s="12" t="n">
        <f aca="false">IF(ISTEXT(D13)=TRUE(),1,0)</f>
        <v>0</v>
      </c>
    </row>
    <row r="14" customFormat="false" ht="15" hidden="false" customHeight="false" outlineLevel="0" collapsed="false">
      <c r="B14" s="5" t="s">
        <v>24</v>
      </c>
      <c r="C14" s="6"/>
      <c r="D14" s="7" t="n">
        <v>0</v>
      </c>
      <c r="F14" s="8" t="s">
        <v>25</v>
      </c>
    </row>
    <row r="15" customFormat="false" ht="15" hidden="false" customHeight="false" outlineLevel="0" collapsed="false">
      <c r="B15" s="14" t="s">
        <v>26</v>
      </c>
      <c r="C15" s="15"/>
      <c r="D15" s="16" t="n">
        <v>9</v>
      </c>
      <c r="F15" s="8"/>
    </row>
    <row r="16" customFormat="false" ht="15" hidden="false" customHeight="false" outlineLevel="0" collapsed="false">
      <c r="B16" s="14" t="s">
        <v>27</v>
      </c>
      <c r="C16" s="15"/>
      <c r="D16" s="16" t="n">
        <v>9</v>
      </c>
      <c r="F16" s="8"/>
    </row>
    <row r="17" customFormat="false" ht="15" hidden="false" customHeight="false" outlineLevel="0" collapsed="false">
      <c r="A17" s="17" t="s">
        <v>28</v>
      </c>
      <c r="B17" s="18"/>
      <c r="C17" s="4" t="s">
        <v>29</v>
      </c>
      <c r="D17" s="19"/>
    </row>
    <row r="18" customFormat="false" ht="15" hidden="false" customHeight="false" outlineLevel="0" collapsed="false">
      <c r="B18" s="5" t="s">
        <v>30</v>
      </c>
      <c r="C18" s="20"/>
      <c r="D18" s="21"/>
    </row>
    <row r="19" customFormat="false" ht="16.4" hidden="false" customHeight="false" outlineLevel="0" collapsed="false">
      <c r="C19" s="22" t="s">
        <v>31</v>
      </c>
      <c r="D19" s="23"/>
      <c r="F19" s="8" t="s">
        <v>32</v>
      </c>
    </row>
    <row r="20" customFormat="false" ht="16.4" hidden="false" customHeight="false" outlineLevel="0" collapsed="false">
      <c r="C20" s="22" t="s">
        <v>33</v>
      </c>
      <c r="D20" s="11"/>
      <c r="F20" s="8" t="s">
        <v>32</v>
      </c>
    </row>
    <row r="21" customFormat="false" ht="16.4" hidden="false" customHeight="false" outlineLevel="0" collapsed="false">
      <c r="B21" s="5" t="s">
        <v>34</v>
      </c>
      <c r="C21" s="6"/>
      <c r="D21" s="11"/>
      <c r="F21" s="8" t="s">
        <v>19</v>
      </c>
    </row>
    <row r="22" customFormat="false" ht="15" hidden="false" customHeight="false" outlineLevel="0" collapsed="false">
      <c r="B22" s="5" t="s">
        <v>35</v>
      </c>
      <c r="C22" s="20"/>
      <c r="D22" s="24"/>
    </row>
    <row r="23" customFormat="false" ht="16.4" hidden="false" customHeight="false" outlineLevel="0" collapsed="false">
      <c r="C23" s="22" t="s">
        <v>31</v>
      </c>
      <c r="D23" s="25"/>
      <c r="F23" s="8" t="s">
        <v>19</v>
      </c>
    </row>
    <row r="24" customFormat="false" ht="16.4" hidden="false" customHeight="false" outlineLevel="0" collapsed="false">
      <c r="C24" s="22" t="s">
        <v>33</v>
      </c>
      <c r="D24" s="13"/>
      <c r="F24" s="8" t="s">
        <v>19</v>
      </c>
    </row>
    <row r="25" customFormat="false" ht="15" hidden="false" customHeight="false" outlineLevel="0" collapsed="false">
      <c r="B25" s="5" t="s">
        <v>36</v>
      </c>
      <c r="C25" s="20"/>
      <c r="D25" s="24"/>
    </row>
    <row r="26" customFormat="false" ht="16.4" hidden="false" customHeight="false" outlineLevel="0" collapsed="false">
      <c r="C26" s="22" t="s">
        <v>31</v>
      </c>
      <c r="D26" s="25"/>
      <c r="F26" s="8" t="s">
        <v>19</v>
      </c>
    </row>
    <row r="27" customFormat="false" ht="16.4" hidden="false" customHeight="false" outlineLevel="0" collapsed="false">
      <c r="C27" s="26" t="s">
        <v>33</v>
      </c>
      <c r="D27" s="13"/>
      <c r="F27" s="8" t="s">
        <v>19</v>
      </c>
    </row>
    <row r="28" customFormat="false" ht="16.4" hidden="false" customHeight="false" outlineLevel="0" collapsed="false">
      <c r="B28" s="5" t="s">
        <v>37</v>
      </c>
      <c r="C28" s="6"/>
      <c r="D28" s="7"/>
      <c r="F28" s="8" t="s">
        <v>19</v>
      </c>
    </row>
    <row r="29" customFormat="false" ht="15" hidden="false" customHeight="false" outlineLevel="0" collapsed="false">
      <c r="B29" s="5" t="s">
        <v>38</v>
      </c>
      <c r="C29" s="20"/>
      <c r="D29" s="27" t="e">
        <f aca="false">SUM(D19:D28)/COUNT(D19:D28)</f>
        <v>#DIV/0!</v>
      </c>
      <c r="F29" s="9" t="s">
        <v>39</v>
      </c>
    </row>
    <row r="30" customFormat="false" ht="15" hidden="false" customHeight="false" outlineLevel="0" collapsed="false">
      <c r="A30" s="1" t="s">
        <v>40</v>
      </c>
      <c r="B30" s="4"/>
      <c r="C30" s="28"/>
    </row>
    <row r="31" customFormat="false" ht="15" hidden="false" customHeight="false" outlineLevel="0" collapsed="false">
      <c r="B31" s="5" t="s">
        <v>41</v>
      </c>
      <c r="C31" s="6"/>
      <c r="D31" s="29"/>
      <c r="E31" s="29"/>
      <c r="F31" s="29"/>
      <c r="G31" s="29"/>
      <c r="H31" s="29"/>
      <c r="I31" s="29"/>
      <c r="J31" s="29"/>
      <c r="K31" s="29"/>
      <c r="L31" s="29"/>
      <c r="M31" s="7"/>
    </row>
    <row r="32" customFormat="false" ht="15" hidden="false" customHeight="false" outlineLevel="0" collapsed="false">
      <c r="B32" s="5" t="s">
        <v>42</v>
      </c>
      <c r="C32" s="6"/>
      <c r="D32" s="29" t="s">
        <v>43</v>
      </c>
      <c r="E32" s="29"/>
      <c r="F32" s="29"/>
      <c r="G32" s="29"/>
      <c r="H32" s="29"/>
      <c r="I32" s="29"/>
      <c r="J32" s="29"/>
      <c r="K32" s="29"/>
      <c r="L32" s="29"/>
      <c r="M32" s="7"/>
    </row>
    <row r="33" customFormat="false" ht="15" hidden="false" customHeight="false" outlineLevel="0" collapsed="false">
      <c r="B33" s="5" t="s">
        <v>44</v>
      </c>
      <c r="C33" s="6"/>
      <c r="D33" s="29"/>
      <c r="E33" s="29"/>
      <c r="F33" s="29"/>
      <c r="G33" s="29"/>
      <c r="H33" s="29"/>
      <c r="I33" s="29"/>
      <c r="J33" s="29"/>
      <c r="K33" s="29"/>
      <c r="L33" s="29"/>
      <c r="M33" s="7"/>
    </row>
    <row r="34" customFormat="false" ht="15" hidden="false" customHeight="false" outlineLevel="0" collapsed="false">
      <c r="B34" s="5" t="s">
        <v>45</v>
      </c>
      <c r="C34" s="6"/>
      <c r="D34" s="29" t="s">
        <v>46</v>
      </c>
      <c r="E34" s="29"/>
      <c r="F34" s="29"/>
      <c r="G34" s="29"/>
      <c r="H34" s="29"/>
      <c r="I34" s="29"/>
      <c r="J34" s="29"/>
      <c r="K34" s="29"/>
      <c r="L34" s="29"/>
      <c r="M34" s="7"/>
    </row>
    <row r="35" customFormat="false" ht="15" hidden="false" customHeight="false" outlineLevel="0" collapsed="false">
      <c r="A35" s="1" t="s">
        <v>47</v>
      </c>
      <c r="B35" s="4"/>
      <c r="C35" s="28"/>
    </row>
    <row r="36" customFormat="false" ht="15" hidden="false" customHeight="false" outlineLevel="0" collapsed="false">
      <c r="B36" s="5" t="s">
        <v>41</v>
      </c>
      <c r="C36" s="6"/>
      <c r="D36" s="29"/>
      <c r="E36" s="29"/>
      <c r="F36" s="29"/>
      <c r="G36" s="29"/>
      <c r="H36" s="29"/>
      <c r="I36" s="29"/>
      <c r="J36" s="29"/>
      <c r="K36" s="29"/>
      <c r="L36" s="29"/>
      <c r="M36" s="7"/>
    </row>
    <row r="37" customFormat="false" ht="15" hidden="false" customHeight="false" outlineLevel="0" collapsed="false">
      <c r="B37" s="5" t="s">
        <v>42</v>
      </c>
      <c r="C37" s="6"/>
      <c r="D37" s="29" t="s">
        <v>48</v>
      </c>
      <c r="E37" s="29"/>
      <c r="F37" s="29"/>
      <c r="G37" s="29"/>
      <c r="H37" s="29"/>
      <c r="I37" s="29"/>
      <c r="J37" s="29"/>
      <c r="K37" s="29"/>
      <c r="L37" s="29"/>
      <c r="M37" s="7"/>
    </row>
    <row r="38" customFormat="false" ht="15" hidden="false" customHeight="false" outlineLevel="0" collapsed="false">
      <c r="B38" s="5" t="s">
        <v>44</v>
      </c>
      <c r="C38" s="6"/>
      <c r="D38" s="29"/>
      <c r="E38" s="29"/>
      <c r="F38" s="29"/>
      <c r="G38" s="29"/>
      <c r="H38" s="29"/>
      <c r="I38" s="29"/>
      <c r="J38" s="29"/>
      <c r="K38" s="29"/>
      <c r="L38" s="29"/>
      <c r="M38" s="7"/>
    </row>
    <row r="39" customFormat="false" ht="15" hidden="false" customHeight="false" outlineLevel="0" collapsed="false">
      <c r="B39" s="5" t="s">
        <v>45</v>
      </c>
      <c r="C39" s="6"/>
      <c r="D39" s="29"/>
      <c r="E39" s="29"/>
      <c r="F39" s="29"/>
      <c r="G39" s="29"/>
      <c r="H39" s="29"/>
      <c r="I39" s="29"/>
      <c r="J39" s="29"/>
      <c r="K39" s="29"/>
      <c r="L39" s="29"/>
      <c r="M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N1" colorId="64" zoomScale="100" zoomScaleNormal="100" zoomScalePageLayoutView="100" workbookViewId="0">
      <selection pane="topLeft" activeCell="AC6" activeCellId="1" sqref="B15:D16 AC6"/>
    </sheetView>
  </sheetViews>
  <sheetFormatPr defaultColWidth="11.4296875" defaultRowHeight="14.25" zeroHeight="false" outlineLevelRow="0" outlineLevelCol="0"/>
  <cols>
    <col collapsed="false" customWidth="true" hidden="false" outlineLevel="0" max="1" min="1" style="30" width="11.15"/>
    <col collapsed="false" customWidth="true" hidden="false" outlineLevel="0" max="2" min="2" style="30" width="7.72"/>
    <col collapsed="false" customWidth="true" hidden="false" outlineLevel="0" max="3" min="3" style="30" width="8.57"/>
    <col collapsed="false" customWidth="true" hidden="false" outlineLevel="0" max="4" min="4" style="30" width="4.43"/>
    <col collapsed="false" customWidth="true" hidden="false" outlineLevel="0" max="5" min="5" style="30" width="9.14"/>
    <col collapsed="false" customWidth="true" hidden="false" outlineLevel="0" max="6" min="6" style="30" width="8"/>
    <col collapsed="false" customWidth="true" hidden="false" outlineLevel="0" max="7" min="7" style="30" width="2.86"/>
    <col collapsed="false" customWidth="false" hidden="false" outlineLevel="0" max="8" min="8" style="30" width="11.43"/>
    <col collapsed="false" customWidth="true" hidden="false" outlineLevel="0" max="9" min="9" style="30" width="7.72"/>
    <col collapsed="false" customWidth="true" hidden="false" outlineLevel="0" max="10" min="10" style="30" width="3.15"/>
    <col collapsed="false" customWidth="true" hidden="false" outlineLevel="0" max="11" min="11" style="30" width="9.57"/>
    <col collapsed="false" customWidth="true" hidden="false" outlineLevel="0" max="12" min="12" style="30" width="7"/>
    <col collapsed="false" customWidth="true" hidden="false" outlineLevel="0" max="13" min="13" style="30" width="3.15"/>
    <col collapsed="false" customWidth="true" hidden="false" outlineLevel="0" max="14" min="14" style="30" width="12.57"/>
    <col collapsed="false" customWidth="true" hidden="false" outlineLevel="0" max="15" min="15" style="30" width="8.43"/>
    <col collapsed="false" customWidth="true" hidden="false" outlineLevel="0" max="16" min="16" style="30" width="10.71"/>
    <col collapsed="false" customWidth="true" hidden="false" outlineLevel="0" max="17" min="17" style="30" width="10.29"/>
    <col collapsed="false" customWidth="true" hidden="false" outlineLevel="0" max="18" min="18" style="30" width="10.14"/>
    <col collapsed="false" customWidth="true" hidden="false" outlineLevel="0" max="19" min="19" style="30" width="2.86"/>
    <col collapsed="false" customWidth="true" hidden="false" outlineLevel="0" max="20" min="20" style="30" width="7.57"/>
    <col collapsed="false" customWidth="true" hidden="false" outlineLevel="0" max="21" min="21" style="30" width="7"/>
    <col collapsed="false" customWidth="true" hidden="false" outlineLevel="0" max="22" min="22" style="30" width="7.86"/>
    <col collapsed="false" customWidth="true" hidden="false" outlineLevel="0" max="23" min="23" style="30" width="3.43"/>
    <col collapsed="false" customWidth="true" hidden="false" outlineLevel="0" max="24" min="24" style="30" width="7.57"/>
    <col collapsed="false" customWidth="true" hidden="false" outlineLevel="0" max="25" min="25" style="30" width="7.43"/>
    <col collapsed="false" customWidth="true" hidden="false" outlineLevel="0" max="26" min="26" style="30" width="13"/>
    <col collapsed="false" customWidth="true" hidden="false" outlineLevel="0" max="27" min="27" style="30" width="4.43"/>
    <col collapsed="false" customWidth="false" hidden="false" outlineLevel="0" max="16384" min="28" style="30" width="11.43"/>
  </cols>
  <sheetData>
    <row r="1" customFormat="false" ht="14.25" hidden="false" customHeight="false" outlineLevel="0" collapsed="false">
      <c r="A1" s="30" t="s">
        <v>49</v>
      </c>
      <c r="E1" s="30" t="s">
        <v>50</v>
      </c>
      <c r="H1" s="30" t="s">
        <v>51</v>
      </c>
      <c r="K1" s="30" t="s">
        <v>52</v>
      </c>
      <c r="N1" s="30" t="s">
        <v>52</v>
      </c>
      <c r="T1" s="30" t="s">
        <v>53</v>
      </c>
      <c r="X1" s="30" t="s">
        <v>54</v>
      </c>
      <c r="AB1" s="30" t="s">
        <v>55</v>
      </c>
    </row>
    <row r="2" customFormat="false" ht="14.25" hidden="false" customHeight="false" outlineLevel="0" collapsed="false">
      <c r="A2" s="31" t="s">
        <v>56</v>
      </c>
      <c r="B2" s="32" t="s">
        <v>57</v>
      </c>
      <c r="C2" s="33"/>
      <c r="E2" s="31" t="s">
        <v>58</v>
      </c>
      <c r="F2" s="34" t="s">
        <v>57</v>
      </c>
      <c r="H2" s="31" t="s">
        <v>59</v>
      </c>
      <c r="I2" s="34" t="s">
        <v>57</v>
      </c>
      <c r="K2" s="31" t="s">
        <v>60</v>
      </c>
      <c r="L2" s="34" t="s">
        <v>57</v>
      </c>
      <c r="N2" s="35" t="s">
        <v>61</v>
      </c>
      <c r="O2" s="36" t="s">
        <v>62</v>
      </c>
      <c r="P2" s="36" t="s">
        <v>63</v>
      </c>
      <c r="Q2" s="37" t="s">
        <v>64</v>
      </c>
      <c r="T2" s="31" t="s">
        <v>65</v>
      </c>
      <c r="U2" s="31" t="s">
        <v>66</v>
      </c>
      <c r="V2" s="31" t="s">
        <v>67</v>
      </c>
      <c r="X2" s="17" t="s">
        <v>68</v>
      </c>
      <c r="Y2" s="17" t="s">
        <v>57</v>
      </c>
      <c r="Z2" s="17" t="s">
        <v>69</v>
      </c>
      <c r="AB2" s="31" t="s">
        <v>70</v>
      </c>
      <c r="AC2" s="31" t="s">
        <v>66</v>
      </c>
    </row>
    <row r="3" customFormat="false" ht="14.25" hidden="false" customHeight="false" outlineLevel="0" collapsed="false">
      <c r="A3" s="38" t="s">
        <v>71</v>
      </c>
      <c r="B3" s="39" t="n">
        <v>1</v>
      </c>
      <c r="C3" s="33"/>
      <c r="E3" s="40" t="s">
        <v>72</v>
      </c>
      <c r="F3" s="41" t="n">
        <v>7</v>
      </c>
      <c r="H3" s="40" t="s">
        <v>72</v>
      </c>
      <c r="I3" s="41" t="n">
        <v>1</v>
      </c>
      <c r="K3" s="40" t="s">
        <v>73</v>
      </c>
      <c r="L3" s="41" t="n">
        <v>0</v>
      </c>
      <c r="N3" s="38" t="s">
        <v>74</v>
      </c>
      <c r="O3" s="42" t="n">
        <v>23</v>
      </c>
      <c r="P3" s="42" t="n">
        <v>0</v>
      </c>
      <c r="Q3" s="43" t="n">
        <f aca="false">24-(((P3/0.6)/100)+O3)</f>
        <v>1</v>
      </c>
      <c r="T3" s="38" t="s">
        <v>72</v>
      </c>
      <c r="U3" s="42" t="n">
        <v>3</v>
      </c>
      <c r="V3" s="44" t="n">
        <f aca="false" t="array" ref="V3:V3">_xlfn.IFS(U3=1,4,U3=2,3,U3=3,2,U3=4,1)</f>
        <v>2</v>
      </c>
      <c r="X3" s="27" t="s">
        <v>72</v>
      </c>
      <c r="Y3" s="11" t="n">
        <v>3</v>
      </c>
      <c r="Z3" s="17" t="s">
        <v>75</v>
      </c>
      <c r="AB3" s="38" t="s">
        <v>72</v>
      </c>
      <c r="AC3" s="42" t="n">
        <v>1</v>
      </c>
    </row>
    <row r="4" customFormat="false" ht="14.25" hidden="false" customHeight="false" outlineLevel="0" collapsed="false">
      <c r="B4" s="31" t="s">
        <v>76</v>
      </c>
      <c r="C4" s="31" t="s">
        <v>77</v>
      </c>
      <c r="E4" s="40" t="s">
        <v>78</v>
      </c>
      <c r="F4" s="41" t="n">
        <v>3</v>
      </c>
      <c r="H4" s="40" t="s">
        <v>78</v>
      </c>
      <c r="I4" s="41" t="n">
        <v>1</v>
      </c>
      <c r="K4" s="40" t="s">
        <v>79</v>
      </c>
      <c r="L4" s="41" t="n">
        <v>0</v>
      </c>
      <c r="O4" s="45" t="s">
        <v>80</v>
      </c>
      <c r="P4" s="45" t="s">
        <v>81</v>
      </c>
      <c r="Q4" s="31" t="s">
        <v>81</v>
      </c>
      <c r="T4" s="38" t="s">
        <v>78</v>
      </c>
      <c r="U4" s="42" t="n">
        <v>3</v>
      </c>
      <c r="V4" s="44" t="n">
        <f aca="false">U4</f>
        <v>3</v>
      </c>
      <c r="X4" s="46" t="s">
        <v>78</v>
      </c>
      <c r="Y4" s="11" t="n">
        <v>1</v>
      </c>
      <c r="Z4" s="47" t="n">
        <f aca="false">Y3+Y5+Y7+Y11+Y12+Y14+Y16+Y18+Y19+Y21</f>
        <v>27</v>
      </c>
      <c r="AB4" s="38" t="s">
        <v>78</v>
      </c>
      <c r="AC4" s="42" t="n">
        <v>1</v>
      </c>
    </row>
    <row r="5" customFormat="false" ht="14.25" hidden="false" customHeight="false" outlineLevel="0" collapsed="false">
      <c r="A5" s="38" t="s">
        <v>78</v>
      </c>
      <c r="B5" s="42" t="n">
        <v>23</v>
      </c>
      <c r="C5" s="42"/>
      <c r="E5" s="40" t="s">
        <v>82</v>
      </c>
      <c r="F5" s="41" t="n">
        <v>4</v>
      </c>
      <c r="H5" s="40" t="s">
        <v>82</v>
      </c>
      <c r="I5" s="41" t="n">
        <v>0</v>
      </c>
      <c r="K5" s="40" t="s">
        <v>83</v>
      </c>
      <c r="L5" s="41" t="n">
        <v>1</v>
      </c>
      <c r="N5" s="48" t="s">
        <v>84</v>
      </c>
      <c r="O5" s="42" t="n">
        <v>15</v>
      </c>
      <c r="P5" s="44" t="n">
        <f aca="false" t="array" ref="P5:P5">_xlfn.IFS(O5&lt;=15,0,O5&lt;=30,1,O5&lt;=60,2,O5&gt;=61,3)</f>
        <v>0</v>
      </c>
      <c r="Q5" s="44" t="n">
        <f aca="false" t="array" ref="Q5:Q5">_xlfn.IFS(Q8&gt;=7.01,0,Q8&gt;=6.01,1,Q8&gt;=5.01,2,Q8&lt;=5,3)</f>
        <v>0</v>
      </c>
      <c r="T5" s="38" t="s">
        <v>82</v>
      </c>
      <c r="U5" s="42" t="n">
        <v>3</v>
      </c>
      <c r="V5" s="44" t="n">
        <f aca="false" t="array" ref="V5:V5">_xlfn.IFS(U5=1,4,U5=2,3,U5=3,2,U5=4,1)</f>
        <v>2</v>
      </c>
      <c r="X5" s="27" t="s">
        <v>82</v>
      </c>
      <c r="Y5" s="11" t="n">
        <v>3</v>
      </c>
      <c r="AB5" s="38" t="s">
        <v>82</v>
      </c>
      <c r="AC5" s="42" t="n">
        <v>1</v>
      </c>
    </row>
    <row r="6" customFormat="false" ht="14.25" hidden="false" customHeight="false" outlineLevel="0" collapsed="false">
      <c r="A6" s="38" t="s">
        <v>82</v>
      </c>
      <c r="B6" s="42" t="n">
        <v>8</v>
      </c>
      <c r="C6" s="42" t="n">
        <v>0</v>
      </c>
      <c r="E6" s="40" t="s">
        <v>85</v>
      </c>
      <c r="F6" s="41" t="n">
        <v>5</v>
      </c>
      <c r="H6" s="40" t="s">
        <v>85</v>
      </c>
      <c r="I6" s="41" t="n">
        <v>1</v>
      </c>
      <c r="K6" s="40" t="s">
        <v>78</v>
      </c>
      <c r="L6" s="41" t="n">
        <v>2</v>
      </c>
      <c r="O6" s="36" t="s">
        <v>62</v>
      </c>
      <c r="P6" s="36" t="s">
        <v>63</v>
      </c>
      <c r="Q6" s="36" t="s">
        <v>64</v>
      </c>
      <c r="R6" s="35" t="s">
        <v>86</v>
      </c>
      <c r="T6" s="38" t="s">
        <v>85</v>
      </c>
      <c r="U6" s="42" t="n">
        <v>3</v>
      </c>
      <c r="V6" s="44" t="n">
        <f aca="false">U6</f>
        <v>3</v>
      </c>
      <c r="X6" s="46" t="s">
        <v>85</v>
      </c>
      <c r="Y6" s="11" t="n">
        <v>1</v>
      </c>
      <c r="Z6" s="17" t="s">
        <v>87</v>
      </c>
      <c r="AB6" s="31" t="s">
        <v>88</v>
      </c>
      <c r="AC6" s="49" t="n">
        <f aca="false">SUM(AC3:AC5)</f>
        <v>3</v>
      </c>
    </row>
    <row r="7" customFormat="false" ht="14.25" hidden="false" customHeight="false" outlineLevel="0" collapsed="false">
      <c r="A7" s="38" t="s">
        <v>85</v>
      </c>
      <c r="B7" s="42" t="n">
        <v>9</v>
      </c>
      <c r="C7" s="42" t="n">
        <v>0</v>
      </c>
      <c r="E7" s="40" t="s">
        <v>89</v>
      </c>
      <c r="F7" s="41" t="n">
        <v>3</v>
      </c>
      <c r="H7" s="40" t="s">
        <v>89</v>
      </c>
      <c r="I7" s="41" t="n">
        <v>1</v>
      </c>
      <c r="K7" s="40" t="s">
        <v>82</v>
      </c>
      <c r="L7" s="41" t="n">
        <v>1</v>
      </c>
      <c r="N7" s="38" t="s">
        <v>90</v>
      </c>
      <c r="O7" s="42" t="n">
        <v>7</v>
      </c>
      <c r="P7" s="42" t="n">
        <v>30</v>
      </c>
      <c r="Q7" s="44" t="n">
        <f aca="false">((P7/0.6)/100)+O7</f>
        <v>7.5</v>
      </c>
      <c r="R7" s="44" t="n">
        <f aca="false">(Q8/(Q3+Q7))*100</f>
        <v>88.2352941176471</v>
      </c>
      <c r="T7" s="38" t="s">
        <v>89</v>
      </c>
      <c r="U7" s="42" t="n">
        <v>3</v>
      </c>
      <c r="V7" s="44" t="n">
        <f aca="false">U7</f>
        <v>3</v>
      </c>
      <c r="X7" s="27" t="s">
        <v>89</v>
      </c>
      <c r="Y7" s="11" t="n">
        <v>2</v>
      </c>
      <c r="Z7" s="47" t="n">
        <f aca="false">Y4+Y6+Y8+Y9+Y10+Y13+Y15+Y17+Y20+Y22</f>
        <v>10</v>
      </c>
    </row>
    <row r="8" customFormat="false" ht="14.25" hidden="false" customHeight="false" outlineLevel="0" collapsed="false">
      <c r="A8" s="38" t="s">
        <v>89</v>
      </c>
      <c r="B8" s="42" t="n">
        <v>7</v>
      </c>
      <c r="C8" s="42" t="n">
        <v>0</v>
      </c>
      <c r="E8" s="40" t="s">
        <v>91</v>
      </c>
      <c r="F8" s="41" t="n">
        <v>2</v>
      </c>
      <c r="H8" s="40" t="s">
        <v>91</v>
      </c>
      <c r="I8" s="41" t="n">
        <v>0</v>
      </c>
      <c r="K8" s="40" t="s">
        <v>85</v>
      </c>
      <c r="L8" s="41" t="n">
        <v>0</v>
      </c>
      <c r="N8" s="38" t="s">
        <v>92</v>
      </c>
      <c r="O8" s="42" t="n">
        <v>7</v>
      </c>
      <c r="P8" s="42" t="n">
        <v>30</v>
      </c>
      <c r="Q8" s="44" t="n">
        <f aca="false">((P8/0.6)/100)+O8</f>
        <v>7.5</v>
      </c>
      <c r="T8" s="38" t="s">
        <v>91</v>
      </c>
      <c r="U8" s="42" t="n">
        <v>3</v>
      </c>
      <c r="V8" s="44" t="n">
        <f aca="false" t="array" ref="V8:V8">_xlfn.IFS(U8=1,4,U8=2,3,U8=3,2,U8=4,1)</f>
        <v>2</v>
      </c>
      <c r="X8" s="46" t="s">
        <v>91</v>
      </c>
      <c r="Y8" s="11" t="n">
        <v>1</v>
      </c>
    </row>
    <row r="9" customFormat="false" ht="14.25" hidden="false" customHeight="false" outlineLevel="0" collapsed="false">
      <c r="A9" s="48" t="s">
        <v>91</v>
      </c>
      <c r="B9" s="42" t="n">
        <v>9</v>
      </c>
      <c r="C9" s="50" t="n">
        <v>0</v>
      </c>
      <c r="E9" s="40" t="s">
        <v>93</v>
      </c>
      <c r="F9" s="41" t="n">
        <v>4</v>
      </c>
      <c r="H9" s="40" t="s">
        <v>93</v>
      </c>
      <c r="I9" s="41" t="n">
        <v>1</v>
      </c>
      <c r="K9" s="40" t="s">
        <v>89</v>
      </c>
      <c r="L9" s="41" t="n">
        <v>0</v>
      </c>
      <c r="O9" s="51" t="s">
        <v>57</v>
      </c>
      <c r="P9" s="31" t="s">
        <v>67</v>
      </c>
      <c r="Q9" s="35" t="s">
        <v>81</v>
      </c>
      <c r="T9" s="38" t="s">
        <v>93</v>
      </c>
      <c r="U9" s="42" t="n">
        <v>3</v>
      </c>
      <c r="V9" s="44" t="n">
        <f aca="false" t="array" ref="V9:V9">_xlfn.IFS(U9=1,4,U9=2,3,U9=3,2,U9=4,1)</f>
        <v>2</v>
      </c>
      <c r="X9" s="46" t="s">
        <v>93</v>
      </c>
      <c r="Y9" s="11" t="n">
        <v>1</v>
      </c>
    </row>
    <row r="10" customFormat="false" ht="14.25" hidden="false" customHeight="false" outlineLevel="0" collapsed="false">
      <c r="B10" s="31" t="s">
        <v>57</v>
      </c>
      <c r="E10" s="40" t="s">
        <v>94</v>
      </c>
      <c r="F10" s="41" t="n">
        <v>3</v>
      </c>
      <c r="H10" s="40" t="s">
        <v>94</v>
      </c>
      <c r="I10" s="41" t="n">
        <v>0</v>
      </c>
      <c r="K10" s="40" t="s">
        <v>95</v>
      </c>
      <c r="L10" s="52" t="n">
        <f aca="false">SUM(L3:L9)</f>
        <v>4</v>
      </c>
      <c r="N10" s="38" t="s">
        <v>96</v>
      </c>
      <c r="O10" s="42" t="n">
        <v>2</v>
      </c>
      <c r="P10" s="44" t="n">
        <f aca="false">O10-1</f>
        <v>1</v>
      </c>
      <c r="Q10" s="43" t="n">
        <f aca="false">P5+P10</f>
        <v>1</v>
      </c>
      <c r="U10" s="35" t="s">
        <v>95</v>
      </c>
      <c r="V10" s="49" t="n">
        <f aca="false">SUM(V3:V9)/7</f>
        <v>2.42857142857143</v>
      </c>
      <c r="X10" s="46" t="s">
        <v>94</v>
      </c>
      <c r="Y10" s="11" t="n">
        <v>1</v>
      </c>
    </row>
    <row r="11" customFormat="false" ht="14.25" hidden="false" customHeight="false" outlineLevel="0" collapsed="false">
      <c r="A11" s="48" t="s">
        <v>93</v>
      </c>
      <c r="B11" s="42" t="n">
        <v>0</v>
      </c>
      <c r="E11" s="40" t="s">
        <v>97</v>
      </c>
      <c r="F11" s="41" t="n">
        <v>2</v>
      </c>
      <c r="H11" s="40" t="s">
        <v>95</v>
      </c>
      <c r="I11" s="53" t="n">
        <f aca="false">SUM(I3:I10)</f>
        <v>5</v>
      </c>
      <c r="K11" s="40" t="s">
        <v>81</v>
      </c>
      <c r="L11" s="52" t="n">
        <f aca="false">SUM(GESTEP(L10,0),GESTEP(L10,8),GESTEP(L10,15),GESTEP(L10,22))</f>
        <v>1</v>
      </c>
      <c r="N11" s="38" t="s">
        <v>98</v>
      </c>
      <c r="O11" s="42" t="n">
        <v>1</v>
      </c>
      <c r="P11" s="44" t="n">
        <f aca="false">O11-1</f>
        <v>0</v>
      </c>
      <c r="X11" s="27" t="s">
        <v>97</v>
      </c>
      <c r="Y11" s="11" t="n">
        <v>3</v>
      </c>
    </row>
    <row r="12" customFormat="false" ht="14.25" hidden="false" customHeight="false" outlineLevel="0" collapsed="false">
      <c r="A12" s="38" t="s">
        <v>94</v>
      </c>
      <c r="B12" s="54" t="n">
        <v>0</v>
      </c>
      <c r="C12" s="33"/>
      <c r="E12" s="40" t="s">
        <v>67</v>
      </c>
      <c r="F12" s="49" t="n">
        <f aca="false">SUM(F3:F11)/9</f>
        <v>3.66666666666667</v>
      </c>
      <c r="H12" s="40" t="s">
        <v>81</v>
      </c>
      <c r="I12" s="52" t="n">
        <f aca="false">SUM(GESTEP(I11,0),GESTEP(I11,6),GESTEP(I11,11),GESTEP(I11,13),GESTEP(I11,16))</f>
        <v>1</v>
      </c>
      <c r="N12" s="38" t="s">
        <v>99</v>
      </c>
      <c r="O12" s="42" t="n">
        <v>2</v>
      </c>
      <c r="P12" s="44" t="n">
        <f aca="false">O12-1</f>
        <v>1</v>
      </c>
      <c r="Q12" s="55" t="s">
        <v>100</v>
      </c>
      <c r="R12" s="56" t="n">
        <f aca="false">P20</f>
        <v>1</v>
      </c>
      <c r="X12" s="27" t="s">
        <v>101</v>
      </c>
      <c r="Y12" s="11" t="n">
        <v>2</v>
      </c>
    </row>
    <row r="13" customFormat="false" ht="14.25" hidden="false" customHeight="false" outlineLevel="0" collapsed="false">
      <c r="N13" s="38" t="s">
        <v>102</v>
      </c>
      <c r="O13" s="42" t="n">
        <v>1</v>
      </c>
      <c r="P13" s="44" t="n">
        <f aca="false">O13-1</f>
        <v>0</v>
      </c>
      <c r="Q13" s="55" t="s">
        <v>103</v>
      </c>
      <c r="R13" s="56" t="n">
        <f aca="false" t="array" ref="R13:R13">_xlfn.IFS(Q10=0,0,Q10&lt;=2,1,Q10&lt;=4,2,Q10&lt;=6,3)</f>
        <v>1</v>
      </c>
      <c r="X13" s="46" t="s">
        <v>104</v>
      </c>
      <c r="Y13" s="11" t="n">
        <v>1</v>
      </c>
    </row>
    <row r="14" customFormat="false" ht="14.25" hidden="false" customHeight="false" outlineLevel="0" collapsed="false">
      <c r="N14" s="38" t="s">
        <v>105</v>
      </c>
      <c r="O14" s="42" t="n">
        <v>1</v>
      </c>
      <c r="P14" s="44" t="n">
        <f aca="false">O14-1</f>
        <v>0</v>
      </c>
      <c r="Q14" s="55" t="s">
        <v>106</v>
      </c>
      <c r="R14" s="56" t="n">
        <f aca="false">Q5</f>
        <v>0</v>
      </c>
      <c r="X14" s="27" t="s">
        <v>107</v>
      </c>
      <c r="Y14" s="11" t="n">
        <v>3</v>
      </c>
    </row>
    <row r="15" customFormat="false" ht="14.25" hidden="false" customHeight="false" outlineLevel="0" collapsed="false">
      <c r="N15" s="38" t="s">
        <v>108</v>
      </c>
      <c r="O15" s="42" t="n">
        <v>1</v>
      </c>
      <c r="P15" s="44" t="n">
        <f aca="false">O15-1</f>
        <v>0</v>
      </c>
      <c r="Q15" s="55" t="s">
        <v>109</v>
      </c>
      <c r="R15" s="56" t="n">
        <f aca="false" t="array" ref="R15:R15">_xlfn.IFS(R7&gt;=85,0,R7&gt;=75,1,R7&gt;=65,2,R7&lt;=65,3)</f>
        <v>0</v>
      </c>
      <c r="X15" s="46" t="s">
        <v>110</v>
      </c>
      <c r="Y15" s="11" t="n">
        <v>1</v>
      </c>
    </row>
    <row r="16" customFormat="false" ht="14.25" hidden="false" customHeight="false" outlineLevel="0" collapsed="false">
      <c r="N16" s="38" t="s">
        <v>111</v>
      </c>
      <c r="O16" s="42" t="n">
        <v>2</v>
      </c>
      <c r="P16" s="44" t="n">
        <f aca="false">O16-1</f>
        <v>1</v>
      </c>
      <c r="Q16" s="55" t="s">
        <v>112</v>
      </c>
      <c r="R16" s="56" t="n">
        <f aca="false" t="array" ref="R16:R16">_xlfn.IFS(Q21=0,0,Q21&gt;=1,1,Q21&gt;=10,2,Q21&gt;=19,3)</f>
        <v>1</v>
      </c>
      <c r="X16" s="27" t="s">
        <v>113</v>
      </c>
      <c r="Y16" s="11" t="n">
        <v>3</v>
      </c>
    </row>
    <row r="17" customFormat="false" ht="14.25" hidden="false" customHeight="false" outlineLevel="0" collapsed="false">
      <c r="A17" s="30" t="s">
        <v>114</v>
      </c>
      <c r="N17" s="38" t="s">
        <v>115</v>
      </c>
      <c r="O17" s="42" t="n">
        <v>1</v>
      </c>
      <c r="P17" s="44" t="n">
        <f aca="false">O17-1</f>
        <v>0</v>
      </c>
      <c r="Q17" s="55" t="s">
        <v>116</v>
      </c>
      <c r="R17" s="56" t="n">
        <f aca="false">P21</f>
        <v>0</v>
      </c>
      <c r="X17" s="46" t="s">
        <v>117</v>
      </c>
      <c r="Y17" s="11" t="n">
        <v>1</v>
      </c>
    </row>
    <row r="18" customFormat="false" ht="14.25" hidden="false" customHeight="false" outlineLevel="0" collapsed="false">
      <c r="N18" s="38" t="s">
        <v>118</v>
      </c>
      <c r="O18" s="42" t="n">
        <v>1</v>
      </c>
      <c r="P18" s="44" t="n">
        <f aca="false">O18-1</f>
        <v>0</v>
      </c>
      <c r="Q18" s="55" t="s">
        <v>119</v>
      </c>
      <c r="R18" s="56" t="n">
        <f aca="false" t="array" ref="R18:R18">_xlfn.IFS(Q23=0,0,Q23&lt;=2,1,Q23&lt;=4,2,Q23&lt;=6,3)</f>
        <v>1</v>
      </c>
      <c r="X18" s="27" t="s">
        <v>120</v>
      </c>
      <c r="Y18" s="11" t="n">
        <v>2</v>
      </c>
    </row>
    <row r="19" customFormat="false" ht="14.25" hidden="false" customHeight="false" outlineLevel="0" collapsed="false">
      <c r="N19" s="38" t="s">
        <v>121</v>
      </c>
      <c r="O19" s="42" t="n">
        <v>1</v>
      </c>
      <c r="P19" s="44" t="n">
        <f aca="false">O19-1</f>
        <v>0</v>
      </c>
      <c r="Q19" s="37" t="s">
        <v>122</v>
      </c>
      <c r="R19" s="49" t="n">
        <f aca="false">SUM(R12:R18)</f>
        <v>4</v>
      </c>
      <c r="X19" s="27" t="s">
        <v>123</v>
      </c>
      <c r="Y19" s="11" t="n">
        <v>3</v>
      </c>
    </row>
    <row r="20" customFormat="false" ht="14.25" hidden="false" customHeight="false" outlineLevel="0" collapsed="false">
      <c r="N20" s="38" t="s">
        <v>124</v>
      </c>
      <c r="O20" s="42" t="n">
        <v>2</v>
      </c>
      <c r="P20" s="44" t="n">
        <f aca="false">O20-1</f>
        <v>1</v>
      </c>
      <c r="Q20" s="37" t="s">
        <v>125</v>
      </c>
      <c r="X20" s="46" t="s">
        <v>126</v>
      </c>
      <c r="Y20" s="11" t="n">
        <v>1</v>
      </c>
    </row>
    <row r="21" customFormat="false" ht="14.25" hidden="false" customHeight="false" outlineLevel="0" collapsed="false">
      <c r="N21" s="38" t="s">
        <v>127</v>
      </c>
      <c r="O21" s="42" t="n">
        <v>1</v>
      </c>
      <c r="P21" s="44" t="n">
        <f aca="false">O21-1</f>
        <v>0</v>
      </c>
      <c r="Q21" s="43" t="n">
        <f aca="false">SUM(P11:P19)</f>
        <v>2</v>
      </c>
      <c r="X21" s="27" t="s">
        <v>128</v>
      </c>
      <c r="Y21" s="11" t="n">
        <v>3</v>
      </c>
    </row>
    <row r="22" customFormat="false" ht="14.25" hidden="false" customHeight="false" outlineLevel="0" collapsed="false">
      <c r="N22" s="38" t="s">
        <v>129</v>
      </c>
      <c r="O22" s="42" t="n">
        <v>1</v>
      </c>
      <c r="P22" s="44" t="n">
        <f aca="false">O22-1</f>
        <v>0</v>
      </c>
      <c r="Q22" s="35" t="s">
        <v>67</v>
      </c>
      <c r="X22" s="46" t="s">
        <v>130</v>
      </c>
      <c r="Y22" s="11" t="n">
        <v>1</v>
      </c>
    </row>
    <row r="23" customFormat="false" ht="14.25" hidden="false" customHeight="false" outlineLevel="0" collapsed="false">
      <c r="N23" s="38" t="s">
        <v>131</v>
      </c>
      <c r="O23" s="42" t="n">
        <v>2</v>
      </c>
      <c r="P23" s="44" t="n">
        <f aca="false">O23-1</f>
        <v>1</v>
      </c>
      <c r="Q23" s="43" t="n">
        <f aca="false">P23+P22</f>
        <v>1</v>
      </c>
    </row>
    <row r="40" customFormat="false" ht="14.25" hidden="false" customHeight="false" outlineLevel="0" collapsed="false">
      <c r="A40" s="35" t="s">
        <v>132</v>
      </c>
      <c r="B40" s="35" t="s">
        <v>133</v>
      </c>
    </row>
    <row r="41" customFormat="false" ht="14.25" hidden="false" customHeight="false" outlineLevel="0" collapsed="false">
      <c r="A41" s="57" t="s">
        <v>134</v>
      </c>
      <c r="B41" s="57"/>
    </row>
    <row r="42" customFormat="false" ht="14.25" hidden="false" customHeight="false" outlineLevel="0" collapsed="false">
      <c r="A42" s="58" t="s">
        <v>72</v>
      </c>
      <c r="B42" s="59" t="s">
        <v>135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</row>
    <row r="43" customFormat="false" ht="14.25" hidden="false" customHeight="false" outlineLevel="0" collapsed="false">
      <c r="A43" s="58" t="s">
        <v>78</v>
      </c>
      <c r="B43" s="59" t="s">
        <v>136</v>
      </c>
      <c r="C43" s="59"/>
      <c r="D43" s="59"/>
      <c r="E43" s="59"/>
      <c r="F43" s="59"/>
      <c r="G43" s="59"/>
      <c r="H43" s="59"/>
      <c r="I43" s="59"/>
    </row>
    <row r="44" customFormat="false" ht="14.25" hidden="false" customHeight="false" outlineLevel="0" collapsed="false">
      <c r="A44" s="58" t="s">
        <v>82</v>
      </c>
      <c r="B44" s="59" t="s">
        <v>137</v>
      </c>
      <c r="C44" s="59"/>
      <c r="D44" s="59"/>
      <c r="E44" s="59"/>
      <c r="F44" s="59"/>
      <c r="G44" s="59"/>
      <c r="H44" s="59"/>
      <c r="I44" s="59"/>
    </row>
    <row r="45" customFormat="false" ht="14.25" hidden="false" customHeight="false" outlineLevel="0" collapsed="false">
      <c r="A45" s="58" t="s">
        <v>85</v>
      </c>
      <c r="B45" s="59" t="s">
        <v>138</v>
      </c>
      <c r="C45" s="59"/>
      <c r="D45" s="59"/>
      <c r="E45" s="59"/>
      <c r="F45" s="59"/>
      <c r="G45" s="59"/>
      <c r="H45" s="59"/>
      <c r="I45" s="59"/>
      <c r="J45" s="59"/>
      <c r="K45" s="59"/>
      <c r="L45" s="59"/>
    </row>
    <row r="46" customFormat="false" ht="14.25" hidden="false" customHeight="false" outlineLevel="0" collapsed="false">
      <c r="A46" s="58" t="s">
        <v>89</v>
      </c>
      <c r="B46" s="59" t="s">
        <v>139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</row>
    <row r="47" customFormat="false" ht="14.25" hidden="false" customHeight="false" outlineLevel="0" collapsed="false">
      <c r="A47" s="58" t="s">
        <v>91</v>
      </c>
      <c r="B47" s="59" t="s">
        <v>140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</row>
    <row r="48" customFormat="false" ht="14.25" hidden="false" customHeight="false" outlineLevel="0" collapsed="false">
      <c r="A48" s="58" t="s">
        <v>93</v>
      </c>
      <c r="B48" s="59" t="s">
        <v>141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</row>
    <row r="49" customFormat="false" ht="14.25" hidden="false" customHeight="false" outlineLevel="0" collapsed="false">
      <c r="A49" s="58" t="s">
        <v>94</v>
      </c>
      <c r="B49" s="59" t="s">
        <v>142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</row>
    <row r="51" customFormat="false" ht="14.25" hidden="false" customHeight="false" outlineLevel="0" collapsed="false">
      <c r="A51" s="60" t="s">
        <v>143</v>
      </c>
      <c r="B51" s="60" t="s">
        <v>144</v>
      </c>
      <c r="C51" s="60"/>
      <c r="D51" s="60"/>
      <c r="E51" s="60"/>
    </row>
    <row r="52" customFormat="false" ht="14.25" hidden="false" customHeight="false" outlineLevel="0" collapsed="false">
      <c r="A52" s="58" t="s">
        <v>71</v>
      </c>
      <c r="B52" s="59" t="s">
        <v>145</v>
      </c>
      <c r="C52" s="59"/>
      <c r="D52" s="59"/>
      <c r="E52" s="59"/>
      <c r="F52" s="59"/>
    </row>
    <row r="53" customFormat="false" ht="14.25" hidden="false" customHeight="false" outlineLevel="0" collapsed="false">
      <c r="A53" s="58" t="s">
        <v>78</v>
      </c>
      <c r="B53" s="59" t="s">
        <v>146</v>
      </c>
      <c r="C53" s="59"/>
      <c r="D53" s="59"/>
      <c r="E53" s="59"/>
    </row>
    <row r="54" customFormat="false" ht="14.25" hidden="false" customHeight="false" outlineLevel="0" collapsed="false">
      <c r="A54" s="58" t="s">
        <v>82</v>
      </c>
      <c r="B54" s="59" t="s">
        <v>147</v>
      </c>
      <c r="C54" s="59"/>
      <c r="D54" s="59"/>
    </row>
    <row r="55" customFormat="false" ht="14.25" hidden="false" customHeight="false" outlineLevel="0" collapsed="false">
      <c r="A55" s="58" t="s">
        <v>85</v>
      </c>
      <c r="B55" s="59" t="s">
        <v>148</v>
      </c>
      <c r="C55" s="59"/>
      <c r="D55" s="59"/>
      <c r="E55" s="59"/>
      <c r="F55" s="59"/>
      <c r="G55" s="59"/>
      <c r="H55" s="59"/>
      <c r="I55" s="59"/>
    </row>
    <row r="56" customFormat="false" ht="14.25" hidden="false" customHeight="false" outlineLevel="0" collapsed="false">
      <c r="A56" s="58" t="s">
        <v>89</v>
      </c>
      <c r="B56" s="59" t="s">
        <v>149</v>
      </c>
      <c r="C56" s="59"/>
      <c r="D56" s="59"/>
      <c r="E56" s="59"/>
      <c r="F56" s="59"/>
      <c r="G56" s="59"/>
      <c r="H56" s="59"/>
    </row>
    <row r="57" customFormat="false" ht="14.25" hidden="false" customHeight="false" outlineLevel="0" collapsed="false">
      <c r="A57" s="58" t="s">
        <v>91</v>
      </c>
      <c r="B57" s="59" t="s">
        <v>150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</row>
    <row r="58" customFormat="false" ht="14.25" hidden="false" customHeight="false" outlineLevel="0" collapsed="false">
      <c r="A58" s="58" t="s">
        <v>93</v>
      </c>
      <c r="B58" s="59" t="s">
        <v>151</v>
      </c>
      <c r="C58" s="59"/>
      <c r="D58" s="59"/>
      <c r="E58" s="59"/>
      <c r="F58" s="59"/>
      <c r="G58" s="59"/>
      <c r="H58" s="59"/>
      <c r="I58" s="59"/>
      <c r="J58" s="59"/>
      <c r="K58" s="59"/>
    </row>
    <row r="59" customFormat="false" ht="14.25" hidden="false" customHeight="false" outlineLevel="0" collapsed="false">
      <c r="A59" s="58" t="s">
        <v>94</v>
      </c>
      <c r="B59" s="59" t="s">
        <v>152</v>
      </c>
      <c r="C59" s="59"/>
      <c r="D59" s="59"/>
      <c r="E59" s="59"/>
      <c r="F59" s="59"/>
      <c r="G59" s="59"/>
      <c r="H59" s="59"/>
      <c r="I59" s="59"/>
      <c r="J59" s="59"/>
    </row>
    <row r="60" customFormat="false" ht="14.25" hidden="false" customHeight="false" outlineLevel="0" collapsed="false">
      <c r="A60" s="58" t="s">
        <v>97</v>
      </c>
      <c r="B60" s="59" t="s">
        <v>153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</row>
    <row r="62" customFormat="false" ht="14.25" hidden="false" customHeight="false" outlineLevel="0" collapsed="false">
      <c r="A62" s="60" t="s">
        <v>154</v>
      </c>
      <c r="B62" s="60" t="s">
        <v>155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</row>
    <row r="63" customFormat="false" ht="14.25" hidden="false" customHeight="false" outlineLevel="0" collapsed="false">
      <c r="A63" s="58" t="s">
        <v>72</v>
      </c>
      <c r="B63" s="59" t="s">
        <v>156</v>
      </c>
      <c r="C63" s="59"/>
    </row>
    <row r="64" customFormat="false" ht="14.25" hidden="false" customHeight="false" outlineLevel="0" collapsed="false">
      <c r="A64" s="58" t="s">
        <v>78</v>
      </c>
      <c r="B64" s="59" t="s">
        <v>157</v>
      </c>
    </row>
    <row r="65" customFormat="false" ht="14.25" hidden="false" customHeight="false" outlineLevel="0" collapsed="false">
      <c r="A65" s="58" t="s">
        <v>82</v>
      </c>
      <c r="B65" s="59" t="s">
        <v>158</v>
      </c>
      <c r="C65" s="59"/>
      <c r="D65" s="59"/>
      <c r="E65" s="59"/>
      <c r="F65" s="59"/>
      <c r="G65" s="59"/>
      <c r="H65" s="59"/>
    </row>
    <row r="66" customFormat="false" ht="14.25" hidden="false" customHeight="false" outlineLevel="0" collapsed="false">
      <c r="A66" s="58" t="s">
        <v>85</v>
      </c>
      <c r="B66" s="59" t="s">
        <v>159</v>
      </c>
      <c r="C66" s="59"/>
      <c r="D66" s="59"/>
      <c r="E66" s="59"/>
      <c r="F66" s="59"/>
    </row>
    <row r="67" customFormat="false" ht="14.25" hidden="false" customHeight="false" outlineLevel="0" collapsed="false">
      <c r="A67" s="58" t="s">
        <v>89</v>
      </c>
      <c r="B67" s="59" t="s">
        <v>160</v>
      </c>
      <c r="C67" s="59"/>
      <c r="D67" s="59"/>
      <c r="E67" s="59"/>
      <c r="F67" s="59"/>
      <c r="G67" s="59"/>
      <c r="H67" s="59"/>
      <c r="I67" s="59"/>
    </row>
    <row r="68" customFormat="false" ht="14.25" hidden="false" customHeight="false" outlineLevel="0" collapsed="false">
      <c r="A68" s="58" t="s">
        <v>91</v>
      </c>
      <c r="B68" s="59" t="s">
        <v>161</v>
      </c>
      <c r="C68" s="59"/>
      <c r="D68" s="59"/>
    </row>
    <row r="69" customFormat="false" ht="14.25" hidden="false" customHeight="false" outlineLevel="0" collapsed="false">
      <c r="A69" s="58" t="s">
        <v>93</v>
      </c>
      <c r="B69" s="59" t="s">
        <v>162</v>
      </c>
      <c r="C69" s="59"/>
      <c r="D69" s="59"/>
      <c r="E69" s="59"/>
      <c r="F69" s="59"/>
    </row>
    <row r="70" customFormat="false" ht="14.25" hidden="false" customHeight="false" outlineLevel="0" collapsed="false">
      <c r="A70" s="58" t="s">
        <v>94</v>
      </c>
      <c r="B70" s="59" t="s">
        <v>163</v>
      </c>
      <c r="C70" s="59"/>
      <c r="D70" s="59"/>
      <c r="E70" s="59"/>
      <c r="F70" s="59"/>
      <c r="G70" s="59"/>
    </row>
    <row r="72" customFormat="false" ht="14.25" hidden="false" customHeight="false" outlineLevel="0" collapsed="false">
      <c r="A72" s="60" t="s">
        <v>164</v>
      </c>
      <c r="B72" s="60" t="s">
        <v>165</v>
      </c>
      <c r="C72" s="60"/>
      <c r="D72" s="60"/>
      <c r="E72" s="60"/>
    </row>
    <row r="73" customFormat="false" ht="14.25" hidden="false" customHeight="false" outlineLevel="0" collapsed="false">
      <c r="A73" s="58" t="s">
        <v>166</v>
      </c>
      <c r="B73" s="59" t="s">
        <v>167</v>
      </c>
      <c r="C73" s="59"/>
      <c r="D73" s="59"/>
    </row>
    <row r="74" customFormat="false" ht="14.25" hidden="false" customHeight="false" outlineLevel="0" collapsed="false">
      <c r="A74" s="58" t="s">
        <v>168</v>
      </c>
      <c r="B74" s="59" t="s">
        <v>169</v>
      </c>
      <c r="C74" s="59"/>
      <c r="D74" s="59"/>
    </row>
    <row r="75" customFormat="false" ht="14.25" hidden="false" customHeight="false" outlineLevel="0" collapsed="false">
      <c r="A75" s="58" t="s">
        <v>170</v>
      </c>
      <c r="B75" s="59" t="s">
        <v>171</v>
      </c>
      <c r="C75" s="59"/>
      <c r="D75" s="59"/>
      <c r="E75" s="59"/>
    </row>
    <row r="76" customFormat="false" ht="14.25" hidden="false" customHeight="false" outlineLevel="0" collapsed="false">
      <c r="A76" s="58" t="s">
        <v>172</v>
      </c>
      <c r="B76" s="59" t="s">
        <v>173</v>
      </c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</row>
    <row r="77" customFormat="false" ht="14.25" hidden="false" customHeight="false" outlineLevel="0" collapsed="false">
      <c r="A77" s="58" t="s">
        <v>82</v>
      </c>
      <c r="B77" s="59" t="s">
        <v>174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 customFormat="false" ht="14.25" hidden="false" customHeight="false" outlineLevel="0" collapsed="false">
      <c r="A78" s="58" t="s">
        <v>85</v>
      </c>
      <c r="B78" s="59" t="s">
        <v>175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</row>
    <row r="79" customFormat="false" ht="14.25" hidden="false" customHeight="false" outlineLevel="0" collapsed="false">
      <c r="A79" s="58" t="s">
        <v>89</v>
      </c>
      <c r="B79" s="59" t="s">
        <v>176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</row>
    <row r="80" customFormat="false" ht="14.25" hidden="false" customHeight="false" outlineLevel="0" collapsed="false">
      <c r="A80" s="58" t="s">
        <v>177</v>
      </c>
      <c r="B80" s="59" t="s">
        <v>178</v>
      </c>
      <c r="C80" s="59"/>
      <c r="D80" s="59"/>
      <c r="E80" s="59"/>
      <c r="F80" s="59"/>
      <c r="G80" s="59"/>
      <c r="H80" s="59"/>
      <c r="I80" s="59"/>
      <c r="J80" s="59"/>
      <c r="K80" s="59"/>
      <c r="L80" s="59"/>
    </row>
    <row r="81" customFormat="false" ht="14.25" hidden="false" customHeight="false" outlineLevel="0" collapsed="false">
      <c r="A81" s="58" t="s">
        <v>93</v>
      </c>
      <c r="B81" s="59" t="s">
        <v>179</v>
      </c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</row>
    <row r="82" customFormat="false" ht="14.25" hidden="false" customHeight="false" outlineLevel="0" collapsed="false">
      <c r="A82" s="58" t="s">
        <v>94</v>
      </c>
      <c r="B82" s="59" t="s">
        <v>180</v>
      </c>
      <c r="C82" s="59"/>
      <c r="D82" s="59"/>
      <c r="E82" s="59"/>
      <c r="F82" s="59"/>
      <c r="G82" s="59"/>
      <c r="H82" s="59"/>
      <c r="I82" s="59"/>
      <c r="J82" s="59"/>
      <c r="K82" s="59"/>
      <c r="L82" s="59"/>
    </row>
    <row r="83" customFormat="false" ht="14.25" hidden="false" customHeight="false" outlineLevel="0" collapsed="false">
      <c r="A83" s="58" t="s">
        <v>97</v>
      </c>
      <c r="B83" s="59" t="s">
        <v>181</v>
      </c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</row>
    <row r="84" customFormat="false" ht="14.25" hidden="false" customHeight="false" outlineLevel="0" collapsed="false">
      <c r="A84" s="58" t="s">
        <v>182</v>
      </c>
      <c r="B84" s="59" t="s">
        <v>183</v>
      </c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customFormat="false" ht="14.25" hidden="false" customHeight="false" outlineLevel="0" collapsed="false">
      <c r="A85" s="58" t="s">
        <v>184</v>
      </c>
      <c r="B85" s="59" t="s">
        <v>185</v>
      </c>
      <c r="C85" s="59"/>
      <c r="D85" s="59"/>
      <c r="E85" s="59"/>
      <c r="F85" s="59"/>
    </row>
    <row r="86" customFormat="false" ht="14.25" hidden="false" customHeight="false" outlineLevel="0" collapsed="false">
      <c r="A86" s="58" t="s">
        <v>186</v>
      </c>
      <c r="B86" s="59" t="s">
        <v>187</v>
      </c>
      <c r="C86" s="59"/>
      <c r="D86" s="59"/>
      <c r="E86" s="59"/>
      <c r="F86" s="59"/>
      <c r="G86" s="59"/>
      <c r="H86" s="59"/>
    </row>
    <row r="87" customFormat="false" ht="14.25" hidden="false" customHeight="false" outlineLevel="0" collapsed="false">
      <c r="A87" s="58" t="s">
        <v>188</v>
      </c>
      <c r="B87" s="59" t="s">
        <v>189</v>
      </c>
      <c r="C87" s="59"/>
      <c r="D87" s="59"/>
      <c r="E87" s="59"/>
    </row>
    <row r="88" customFormat="false" ht="14.25" hidden="false" customHeight="false" outlineLevel="0" collapsed="false">
      <c r="A88" s="58" t="s">
        <v>190</v>
      </c>
      <c r="B88" s="59" t="s">
        <v>191</v>
      </c>
      <c r="C88" s="59"/>
      <c r="D88" s="59"/>
      <c r="E88" s="59"/>
    </row>
    <row r="89" customFormat="false" ht="14.25" hidden="false" customHeight="false" outlineLevel="0" collapsed="false">
      <c r="A89" s="58" t="s">
        <v>192</v>
      </c>
      <c r="B89" s="59" t="s">
        <v>193</v>
      </c>
      <c r="C89" s="59"/>
      <c r="D89" s="59"/>
      <c r="E89" s="59"/>
    </row>
    <row r="90" customFormat="false" ht="14.25" hidden="false" customHeight="false" outlineLevel="0" collapsed="false">
      <c r="A90" s="58" t="s">
        <v>194</v>
      </c>
      <c r="B90" s="59" t="s">
        <v>195</v>
      </c>
      <c r="C90" s="59"/>
      <c r="D90" s="59"/>
    </row>
    <row r="91" customFormat="false" ht="14.25" hidden="false" customHeight="false" outlineLevel="0" collapsed="false">
      <c r="A91" s="58" t="s">
        <v>196</v>
      </c>
      <c r="B91" s="59" t="s">
        <v>197</v>
      </c>
      <c r="C91" s="59"/>
      <c r="D91" s="59"/>
    </row>
    <row r="92" customFormat="false" ht="14.25" hidden="false" customHeight="false" outlineLevel="0" collapsed="false">
      <c r="A92" s="58" t="s">
        <v>198</v>
      </c>
      <c r="B92" s="59" t="s">
        <v>199</v>
      </c>
      <c r="C92" s="59"/>
      <c r="D92" s="59"/>
    </row>
    <row r="93" customFormat="false" ht="14.25" hidden="false" customHeight="false" outlineLevel="0" collapsed="false">
      <c r="A93" s="58" t="s">
        <v>200</v>
      </c>
      <c r="B93" s="59" t="s">
        <v>201</v>
      </c>
      <c r="C93" s="59"/>
      <c r="D93" s="59"/>
    </row>
    <row r="94" customFormat="false" ht="14.25" hidden="false" customHeight="false" outlineLevel="0" collapsed="false">
      <c r="A94" s="58" t="s">
        <v>202</v>
      </c>
      <c r="B94" s="30" t="s">
        <v>203</v>
      </c>
    </row>
    <row r="95" customFormat="false" ht="14.25" hidden="false" customHeight="false" outlineLevel="0" collapsed="false">
      <c r="A95" s="58" t="s">
        <v>204</v>
      </c>
      <c r="B95" s="59" t="s">
        <v>205</v>
      </c>
      <c r="C95" s="59"/>
      <c r="D95" s="59"/>
      <c r="E95" s="59"/>
      <c r="F95" s="59"/>
      <c r="G95" s="59"/>
      <c r="H95" s="59"/>
      <c r="I95" s="59"/>
      <c r="J95" s="59"/>
      <c r="K95" s="59"/>
    </row>
    <row r="96" customFormat="false" ht="14.25" hidden="false" customHeight="false" outlineLevel="0" collapsed="false">
      <c r="A96" s="58" t="s">
        <v>107</v>
      </c>
      <c r="B96" s="59" t="s">
        <v>206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</row>
    <row r="97" customFormat="false" ht="14.25" hidden="false" customHeight="false" outlineLevel="0" collapsed="false">
      <c r="A97" s="58" t="s">
        <v>207</v>
      </c>
      <c r="B97" s="59" t="s">
        <v>208</v>
      </c>
      <c r="C97" s="59"/>
      <c r="D97" s="59"/>
      <c r="E97" s="59"/>
      <c r="F97" s="59"/>
      <c r="G97" s="59"/>
      <c r="H97" s="59"/>
    </row>
    <row r="98" customFormat="false" ht="14.25" hidden="false" customHeight="false" outlineLevel="0" collapsed="false">
      <c r="A98" s="58" t="s">
        <v>209</v>
      </c>
      <c r="B98" s="59" t="s">
        <v>210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customFormat="false" ht="14.25" hidden="false" customHeight="false" outlineLevel="0" collapsed="false">
      <c r="A99" s="58" t="s">
        <v>110</v>
      </c>
      <c r="B99" s="59" t="s">
        <v>211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</row>
    <row r="101" customFormat="false" ht="14.25" hidden="false" customHeight="false" outlineLevel="0" collapsed="false">
      <c r="A101" s="60" t="s">
        <v>212</v>
      </c>
    </row>
    <row r="102" customFormat="false" ht="14.25" hidden="false" customHeight="false" outlineLevel="0" collapsed="false">
      <c r="A102" s="58" t="s">
        <v>71</v>
      </c>
      <c r="B102" s="59" t="s">
        <v>213</v>
      </c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</row>
    <row r="103" customFormat="false" ht="14.25" hidden="false" customHeight="false" outlineLevel="0" collapsed="false">
      <c r="A103" s="58" t="s">
        <v>78</v>
      </c>
      <c r="B103" s="59" t="s">
        <v>214</v>
      </c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</row>
    <row r="104" customFormat="false" ht="14.25" hidden="false" customHeight="false" outlineLevel="0" collapsed="false">
      <c r="A104" s="58" t="s">
        <v>82</v>
      </c>
      <c r="B104" s="59" t="s">
        <v>215</v>
      </c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</row>
    <row r="105" customFormat="false" ht="14.25" hidden="false" customHeight="false" outlineLevel="0" collapsed="false">
      <c r="A105" s="58" t="s">
        <v>85</v>
      </c>
      <c r="B105" s="59" t="s">
        <v>216</v>
      </c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 customFormat="false" ht="14.25" hidden="false" customHeight="false" outlineLevel="0" collapsed="false">
      <c r="A106" s="58" t="s">
        <v>89</v>
      </c>
      <c r="B106" s="59" t="s">
        <v>217</v>
      </c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</row>
    <row r="107" customFormat="false" ht="14.25" hidden="false" customHeight="false" outlineLevel="0" collapsed="false">
      <c r="A107" s="58" t="s">
        <v>91</v>
      </c>
      <c r="B107" s="59" t="s">
        <v>218</v>
      </c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</row>
    <row r="108" customFormat="false" ht="14.25" hidden="false" customHeight="false" outlineLevel="0" collapsed="false">
      <c r="A108" s="58" t="s">
        <v>93</v>
      </c>
      <c r="B108" s="59" t="s">
        <v>219</v>
      </c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10" customFormat="false" ht="14.25" hidden="false" customHeight="false" outlineLevel="0" collapsed="false">
      <c r="A110" s="60" t="s">
        <v>220</v>
      </c>
      <c r="B110" s="60" t="s">
        <v>68</v>
      </c>
    </row>
    <row r="112" customFormat="false" ht="14.25" hidden="false" customHeight="false" outlineLevel="0" collapsed="false">
      <c r="A112" s="60" t="s">
        <v>221</v>
      </c>
      <c r="B112" s="60"/>
    </row>
    <row r="113" customFormat="false" ht="14.25" hidden="false" customHeight="false" outlineLevel="0" collapsed="false">
      <c r="A113" s="58" t="s">
        <v>72</v>
      </c>
      <c r="B113" s="59" t="s">
        <v>222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</row>
    <row r="114" customFormat="false" ht="14.25" hidden="false" customHeight="false" outlineLevel="0" collapsed="false">
      <c r="A114" s="58" t="s">
        <v>78</v>
      </c>
      <c r="B114" s="59" t="s">
        <v>223</v>
      </c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</row>
    <row r="115" customFormat="false" ht="14.25" hidden="false" customHeight="false" outlineLevel="0" collapsed="false">
      <c r="A115" s="58" t="s">
        <v>82</v>
      </c>
      <c r="B115" s="59" t="s">
        <v>224</v>
      </c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0" activeCellId="1" sqref="B15:D16 A20"/>
    </sheetView>
  </sheetViews>
  <sheetFormatPr defaultColWidth="10.4296875" defaultRowHeight="15" zeroHeight="false" outlineLevelRow="0" outlineLevelCol="0"/>
  <cols>
    <col collapsed="false" customWidth="true" hidden="false" outlineLevel="0" max="1" min="1" style="0" width="11.28"/>
    <col collapsed="false" customWidth="true" hidden="false" outlineLevel="0" max="3" min="2" style="0" width="5.14"/>
    <col collapsed="false" customWidth="true" hidden="false" outlineLevel="0" max="4" min="4" style="0" width="8.57"/>
    <col collapsed="false" customWidth="true" hidden="false" outlineLevel="0" max="6" min="5" style="0" width="8.86"/>
    <col collapsed="false" customWidth="true" hidden="false" outlineLevel="0" max="7" min="7" style="0" width="4.86"/>
    <col collapsed="false" customWidth="true" hidden="false" outlineLevel="0" max="10" min="8" style="0" width="4.29"/>
    <col collapsed="false" customWidth="true" hidden="false" outlineLevel="0" max="11" min="11" style="0" width="8.57"/>
    <col collapsed="false" customWidth="true" hidden="false" outlineLevel="0" max="12" min="12" style="0" width="8"/>
    <col collapsed="false" customWidth="true" hidden="false" outlineLevel="0" max="14" min="13" style="0" width="5.29"/>
    <col collapsed="false" customWidth="true" hidden="false" outlineLevel="0" max="15" min="15" style="0" width="5"/>
    <col collapsed="false" customWidth="true" hidden="false" outlineLevel="0" max="16" min="16" style="0" width="4.29"/>
    <col collapsed="false" customWidth="true" hidden="false" outlineLevel="0" max="17" min="17" style="0" width="6.43"/>
    <col collapsed="false" customWidth="true" hidden="false" outlineLevel="0" max="18" min="18" style="0" width="10"/>
    <col collapsed="false" customWidth="true" hidden="false" outlineLevel="0" max="19" min="19" style="0" width="5.29"/>
    <col collapsed="false" customWidth="true" hidden="false" outlineLevel="0" max="20" min="20" style="0" width="8.29"/>
    <col collapsed="false" customWidth="true" hidden="false" outlineLevel="0" max="21" min="21" style="0" width="10.14"/>
    <col collapsed="false" customWidth="true" hidden="false" outlineLevel="0" max="22" min="22" style="0" width="3.86"/>
    <col collapsed="false" customWidth="true" hidden="false" outlineLevel="0" max="23" min="23" style="0" width="13.86"/>
    <col collapsed="false" customWidth="true" hidden="false" outlineLevel="0" max="24" min="24" style="0" width="11.28"/>
    <col collapsed="false" customWidth="true" hidden="false" outlineLevel="0" max="25" min="25" style="0" width="13.71"/>
    <col collapsed="false" customWidth="true" hidden="false" outlineLevel="0" max="26" min="26" style="0" width="12.72"/>
    <col collapsed="false" customWidth="true" hidden="false" outlineLevel="0" max="29" min="29" style="0" width="7.28"/>
  </cols>
  <sheetData>
    <row r="1" customFormat="false" ht="16.4" hidden="false" customHeight="false" outlineLevel="0" collapsed="false">
      <c r="A1" s="61" t="s">
        <v>225</v>
      </c>
      <c r="B1" s="62" t="n">
        <f aca="false">DataSheet!D6</f>
        <v>0</v>
      </c>
      <c r="C1" s="9" t="s">
        <v>226</v>
      </c>
      <c r="G1" s="9" t="s">
        <v>227</v>
      </c>
    </row>
    <row r="2" customFormat="false" ht="15" hidden="false" customHeight="false" outlineLevel="0" collapsed="false">
      <c r="D2" s="63" t="s">
        <v>228</v>
      </c>
      <c r="K2" s="63" t="s">
        <v>229</v>
      </c>
      <c r="O2" s="9" t="s">
        <v>230</v>
      </c>
      <c r="P2" s="9" t="s">
        <v>231</v>
      </c>
    </row>
    <row r="3" customFormat="false" ht="15" hidden="false" customHeight="false" outlineLevel="0" collapsed="false">
      <c r="A3" s="64" t="s">
        <v>232</v>
      </c>
      <c r="B3" s="64" t="s">
        <v>233</v>
      </c>
      <c r="C3" s="63" t="s">
        <v>234</v>
      </c>
      <c r="D3" s="65" t="s">
        <v>235</v>
      </c>
      <c r="E3" s="65" t="s">
        <v>236</v>
      </c>
      <c r="F3" s="65" t="s">
        <v>237</v>
      </c>
      <c r="G3" s="17" t="s">
        <v>238</v>
      </c>
      <c r="H3" s="17" t="s">
        <v>239</v>
      </c>
      <c r="I3" s="17" t="s">
        <v>240</v>
      </c>
      <c r="J3" s="17" t="s">
        <v>241</v>
      </c>
      <c r="K3" s="65" t="s">
        <v>242</v>
      </c>
      <c r="L3" s="65" t="s">
        <v>243</v>
      </c>
      <c r="M3" s="17" t="s">
        <v>244</v>
      </c>
      <c r="N3" s="17" t="s">
        <v>240</v>
      </c>
      <c r="O3" s="17" t="s">
        <v>241</v>
      </c>
      <c r="P3" s="17" t="s">
        <v>245</v>
      </c>
      <c r="Q3" s="17" t="s">
        <v>246</v>
      </c>
      <c r="R3" s="65" t="s">
        <v>247</v>
      </c>
      <c r="S3" s="66" t="s">
        <v>248</v>
      </c>
      <c r="T3" s="67" t="s">
        <v>249</v>
      </c>
      <c r="U3" s="67" t="s">
        <v>250</v>
      </c>
    </row>
    <row r="4" customFormat="false" ht="15" hidden="false" customHeight="false" outlineLevel="0" collapsed="false">
      <c r="A4" s="68" t="n">
        <v>44306</v>
      </c>
      <c r="B4" s="69" t="n">
        <v>1</v>
      </c>
      <c r="C4" s="70" t="n">
        <v>24</v>
      </c>
      <c r="D4" s="11" t="n">
        <v>23</v>
      </c>
      <c r="E4" s="11" t="n">
        <v>25</v>
      </c>
      <c r="F4" s="11" t="n">
        <v>15</v>
      </c>
      <c r="G4" s="71" t="n">
        <f aca="false">(E4/0.6)/100</f>
        <v>0.416666666666667</v>
      </c>
      <c r="H4" s="71" t="n">
        <f aca="false">(F4/0.6)/100</f>
        <v>0.25</v>
      </c>
      <c r="I4" s="71" t="n">
        <f aca="false">D4+G4+H4</f>
        <v>23.6666666666667</v>
      </c>
      <c r="J4" s="71" t="n">
        <f aca="false">C4-I4</f>
        <v>0.333333333333332</v>
      </c>
      <c r="K4" s="11" t="n">
        <v>7</v>
      </c>
      <c r="L4" s="11" t="n">
        <v>7</v>
      </c>
      <c r="M4" s="71" t="n">
        <f aca="false">(L4/0.6)/100</f>
        <v>0.116666666666667</v>
      </c>
      <c r="N4" s="71" t="n">
        <f aca="false">K4+M4</f>
        <v>7.11666666666667</v>
      </c>
      <c r="O4" s="71" t="n">
        <f aca="false">N4+J4</f>
        <v>7.45</v>
      </c>
      <c r="P4" s="71" t="n">
        <f aca="false">ROUNDDOWN(O4,0)</f>
        <v>7</v>
      </c>
      <c r="Q4" s="71" t="n">
        <f aca="false">(O4-P4)*0.6</f>
        <v>0.269999999999999</v>
      </c>
      <c r="R4" s="11" t="n">
        <v>4</v>
      </c>
      <c r="S4" s="71" t="n">
        <f aca="false">IF(R4&gt;0,R4-1,"")</f>
        <v>3</v>
      </c>
      <c r="T4" s="72" t="n">
        <f aca="false">P4</f>
        <v>7</v>
      </c>
      <c r="U4" s="72" t="n">
        <f aca="false">Q4*100</f>
        <v>26.9999999999999</v>
      </c>
    </row>
    <row r="5" customFormat="false" ht="15" hidden="false" customHeight="false" outlineLevel="0" collapsed="false">
      <c r="A5" s="68" t="n">
        <v>44307</v>
      </c>
      <c r="B5" s="69" t="n">
        <v>2</v>
      </c>
      <c r="C5" s="70" t="n">
        <v>24</v>
      </c>
      <c r="D5" s="11" t="n">
        <v>24</v>
      </c>
      <c r="E5" s="11" t="n">
        <v>1</v>
      </c>
      <c r="F5" s="11" t="n">
        <v>25</v>
      </c>
      <c r="G5" s="71" t="n">
        <f aca="false">(E5/0.6)/100</f>
        <v>0.0166666666666667</v>
      </c>
      <c r="H5" s="71" t="n">
        <f aca="false">(F5/0.6)/100</f>
        <v>0.416666666666667</v>
      </c>
      <c r="I5" s="71" t="n">
        <f aca="false">D5+G5+H5</f>
        <v>24.4333333333333</v>
      </c>
      <c r="J5" s="71" t="n">
        <f aca="false">C5-I5</f>
        <v>-0.433333333333334</v>
      </c>
      <c r="K5" s="11" t="n">
        <v>7</v>
      </c>
      <c r="L5" s="11" t="n">
        <v>26</v>
      </c>
      <c r="M5" s="71" t="n">
        <f aca="false">(L5/0.6)/100</f>
        <v>0.433333333333333</v>
      </c>
      <c r="N5" s="71" t="n">
        <f aca="false">K5+M5</f>
        <v>7.43333333333333</v>
      </c>
      <c r="O5" s="71" t="n">
        <f aca="false">N5+J5</f>
        <v>7</v>
      </c>
      <c r="P5" s="71" t="n">
        <f aca="false">ROUNDDOWN(O5,0)</f>
        <v>7</v>
      </c>
      <c r="Q5" s="71" t="n">
        <f aca="false">(O5-P5)*0.6</f>
        <v>0</v>
      </c>
      <c r="R5" s="11" t="n">
        <v>4</v>
      </c>
      <c r="S5" s="71" t="n">
        <f aca="false">IF(R5&gt;0,R5-1,"")</f>
        <v>3</v>
      </c>
      <c r="T5" s="72" t="n">
        <f aca="false">P5</f>
        <v>7</v>
      </c>
      <c r="U5" s="72" t="n">
        <f aca="false">Q5*100</f>
        <v>0</v>
      </c>
      <c r="AD5" s="73"/>
    </row>
    <row r="6" customFormat="false" ht="15" hidden="false" customHeight="false" outlineLevel="0" collapsed="false">
      <c r="A6" s="68" t="n">
        <v>44308</v>
      </c>
      <c r="B6" s="69" t="n">
        <v>3</v>
      </c>
      <c r="C6" s="70" t="n">
        <v>24</v>
      </c>
      <c r="D6" s="11" t="n">
        <v>23</v>
      </c>
      <c r="E6" s="11" t="n">
        <v>40</v>
      </c>
      <c r="F6" s="11" t="n">
        <v>20</v>
      </c>
      <c r="G6" s="71" t="n">
        <f aca="false">(E6/0.6)/100</f>
        <v>0.666666666666667</v>
      </c>
      <c r="H6" s="71" t="n">
        <f aca="false">(F6/0.6)/100</f>
        <v>0.333333333333333</v>
      </c>
      <c r="I6" s="71" t="n">
        <f aca="false">D6+G6+H6</f>
        <v>24</v>
      </c>
      <c r="J6" s="71" t="n">
        <f aca="false">C6-I6</f>
        <v>0</v>
      </c>
      <c r="K6" s="11" t="n">
        <v>7</v>
      </c>
      <c r="L6" s="11" t="n">
        <v>0</v>
      </c>
      <c r="M6" s="71" t="n">
        <f aca="false">(L6/0.6)/100</f>
        <v>0</v>
      </c>
      <c r="N6" s="71" t="n">
        <f aca="false">K6+M6</f>
        <v>7</v>
      </c>
      <c r="O6" s="71" t="n">
        <f aca="false">N6+J6</f>
        <v>7</v>
      </c>
      <c r="P6" s="71" t="n">
        <f aca="false">ROUNDDOWN(O6,0)</f>
        <v>7</v>
      </c>
      <c r="Q6" s="71" t="n">
        <f aca="false">(O6-P6)*0.6</f>
        <v>0</v>
      </c>
      <c r="R6" s="11" t="n">
        <v>4</v>
      </c>
      <c r="S6" s="71" t="n">
        <f aca="false">IF(R6&gt;0,R6-1,"")</f>
        <v>3</v>
      </c>
      <c r="T6" s="72" t="n">
        <f aca="false">P6</f>
        <v>7</v>
      </c>
      <c r="U6" s="72" t="n">
        <f aca="false">Q6*100</f>
        <v>0</v>
      </c>
      <c r="AD6" s="73"/>
    </row>
    <row r="7" customFormat="false" ht="15" hidden="false" customHeight="false" outlineLevel="0" collapsed="false">
      <c r="A7" s="68" t="n">
        <v>44309</v>
      </c>
      <c r="B7" s="69" t="n">
        <v>4</v>
      </c>
      <c r="C7" s="70" t="n">
        <v>24</v>
      </c>
      <c r="D7" s="11" t="n">
        <v>23</v>
      </c>
      <c r="E7" s="11" t="n">
        <v>57</v>
      </c>
      <c r="F7" s="11" t="n">
        <v>15</v>
      </c>
      <c r="G7" s="71" t="n">
        <f aca="false">(E7/0.6)/100</f>
        <v>0.95</v>
      </c>
      <c r="H7" s="71" t="n">
        <f aca="false">(F7/0.6)/100</f>
        <v>0.25</v>
      </c>
      <c r="I7" s="71" t="n">
        <f aca="false">D7+G7+H7</f>
        <v>24.2</v>
      </c>
      <c r="J7" s="71" t="n">
        <f aca="false">C7-I7</f>
        <v>-0.199999999999999</v>
      </c>
      <c r="K7" s="11" t="n">
        <v>7</v>
      </c>
      <c r="L7" s="11" t="n">
        <v>0</v>
      </c>
      <c r="M7" s="71" t="n">
        <f aca="false">(L7/0.6)/100</f>
        <v>0</v>
      </c>
      <c r="N7" s="71" t="n">
        <f aca="false">K7+M7</f>
        <v>7</v>
      </c>
      <c r="O7" s="71" t="n">
        <f aca="false">N7+J7</f>
        <v>6.8</v>
      </c>
      <c r="P7" s="71" t="n">
        <f aca="false">ROUNDDOWN(O7,0)</f>
        <v>6</v>
      </c>
      <c r="Q7" s="71" t="n">
        <f aca="false">(O7-P7)*0.6</f>
        <v>0.48</v>
      </c>
      <c r="R7" s="11" t="n">
        <v>4</v>
      </c>
      <c r="S7" s="71" t="n">
        <f aca="false">IF(R7&gt;0,R7-1,"")</f>
        <v>3</v>
      </c>
      <c r="T7" s="72" t="n">
        <f aca="false">P7</f>
        <v>6</v>
      </c>
      <c r="U7" s="72" t="n">
        <f aca="false">Q7*100</f>
        <v>48</v>
      </c>
      <c r="W7" s="0" t="str">
        <f aca="false">IF(B1=1,"LSD","")</f>
        <v/>
      </c>
      <c r="X7" s="0" t="str">
        <f aca="false">IF(B1=1,"Time Slept","")</f>
        <v/>
      </c>
      <c r="Y7" s="0" t="str">
        <f aca="false">IF(B1=1,"Sleep Quality","")</f>
        <v/>
      </c>
      <c r="Z7" s="74" t="str">
        <f aca="false">IF(B1=1,"Missing day(s)","")</f>
        <v/>
      </c>
      <c r="AD7" s="73"/>
    </row>
    <row r="8" customFormat="false" ht="15" hidden="false" customHeight="false" outlineLevel="0" collapsed="false">
      <c r="A8" s="68" t="n">
        <v>44310</v>
      </c>
      <c r="B8" s="69" t="n">
        <v>5</v>
      </c>
      <c r="C8" s="70" t="n">
        <v>24</v>
      </c>
      <c r="D8" s="11" t="n">
        <v>25</v>
      </c>
      <c r="E8" s="11" t="n">
        <v>30</v>
      </c>
      <c r="F8" s="11" t="n">
        <v>10</v>
      </c>
      <c r="G8" s="71" t="n">
        <f aca="false">(E8/0.6)/100</f>
        <v>0.5</v>
      </c>
      <c r="H8" s="71" t="n">
        <f aca="false">(F8/0.6)/100</f>
        <v>0.166666666666667</v>
      </c>
      <c r="I8" s="71" t="n">
        <f aca="false">D8+G8+H8</f>
        <v>25.6666666666667</v>
      </c>
      <c r="J8" s="71" t="n">
        <f aca="false">C8-I8</f>
        <v>-1.66666666666667</v>
      </c>
      <c r="K8" s="11" t="n">
        <v>8</v>
      </c>
      <c r="L8" s="11" t="n">
        <v>47</v>
      </c>
      <c r="M8" s="71" t="n">
        <f aca="false">(L8/0.6)/100</f>
        <v>0.783333333333333</v>
      </c>
      <c r="N8" s="71" t="n">
        <f aca="false">K8+M8</f>
        <v>8.78333333333333</v>
      </c>
      <c r="O8" s="71" t="n">
        <f aca="false">N8+J8</f>
        <v>7.11666666666667</v>
      </c>
      <c r="P8" s="71" t="n">
        <f aca="false">ROUNDDOWN(O8,0)</f>
        <v>7</v>
      </c>
      <c r="Q8" s="71" t="n">
        <f aca="false">(O8-P8)*0.6</f>
        <v>0.0699999999999992</v>
      </c>
      <c r="R8" s="11" t="n">
        <v>4</v>
      </c>
      <c r="S8" s="71" t="n">
        <f aca="false">IF(R8&gt;0,R8-1,"")</f>
        <v>3</v>
      </c>
      <c r="T8" s="72" t="n">
        <f aca="false">P8</f>
        <v>7</v>
      </c>
      <c r="U8" s="72" t="n">
        <f aca="false">Q8*100</f>
        <v>6.99999999999992</v>
      </c>
      <c r="W8" s="0" t="str">
        <f aca="false">IF(B1=1,"DP_NS_AVG","")</f>
        <v/>
      </c>
      <c r="X8" s="73" t="str">
        <f aca="false">IF(B1=1,SUM(O8:O14)/(COUNT(O8:O14)),"")</f>
        <v/>
      </c>
      <c r="Y8" s="73" t="str">
        <f aca="false">IF(B1=1,SUM(S8:S14)/COUNT(S8:S14),"")</f>
        <v/>
      </c>
      <c r="Z8" s="0" t="str">
        <f aca="false">IF(B1=1,IF(COUNT(S8:S14)&lt;7,7-COUNT(S8:S14),""),"")</f>
        <v/>
      </c>
    </row>
    <row r="9" customFormat="false" ht="15" hidden="false" customHeight="false" outlineLevel="0" collapsed="false">
      <c r="A9" s="68" t="n">
        <v>44311</v>
      </c>
      <c r="B9" s="69" t="n">
        <v>6</v>
      </c>
      <c r="C9" s="70" t="n">
        <v>24</v>
      </c>
      <c r="D9" s="11" t="n">
        <v>24</v>
      </c>
      <c r="E9" s="11" t="n">
        <v>48</v>
      </c>
      <c r="F9" s="11" t="n">
        <v>5</v>
      </c>
      <c r="G9" s="71" t="n">
        <f aca="false">(E9/0.6)/100</f>
        <v>0.8</v>
      </c>
      <c r="H9" s="71" t="n">
        <f aca="false">(F9/0.6)/100</f>
        <v>0.0833333333333333</v>
      </c>
      <c r="I9" s="71" t="n">
        <f aca="false">D9+G9+H9</f>
        <v>24.8833333333333</v>
      </c>
      <c r="J9" s="71" t="n">
        <f aca="false">C9-I9</f>
        <v>-0.883333333333333</v>
      </c>
      <c r="K9" s="11" t="n">
        <v>8</v>
      </c>
      <c r="L9" s="11" t="n">
        <v>31</v>
      </c>
      <c r="M9" s="71" t="n">
        <f aca="false">(L9/0.6)/100</f>
        <v>0.516666666666667</v>
      </c>
      <c r="N9" s="71" t="n">
        <f aca="false">K9+M9</f>
        <v>8.51666666666667</v>
      </c>
      <c r="O9" s="71" t="n">
        <f aca="false">N9+J9</f>
        <v>7.63333333333334</v>
      </c>
      <c r="P9" s="71" t="n">
        <f aca="false">ROUNDDOWN(O9,0)</f>
        <v>7</v>
      </c>
      <c r="Q9" s="71" t="n">
        <f aca="false">(O9-P9)*0.6</f>
        <v>0.380000000000001</v>
      </c>
      <c r="R9" s="11" t="n">
        <v>4</v>
      </c>
      <c r="S9" s="71" t="n">
        <f aca="false">IF(R9&gt;0,R9-1,"")</f>
        <v>3</v>
      </c>
      <c r="T9" s="72" t="n">
        <f aca="false">P9</f>
        <v>7</v>
      </c>
      <c r="U9" s="72" t="n">
        <f aca="false">Q9*100</f>
        <v>38.0000000000001</v>
      </c>
      <c r="W9" s="0" t="str">
        <f aca="false">IF(B1=1,"DP_P_AVG","")</f>
        <v/>
      </c>
      <c r="X9" s="73" t="str">
        <f aca="false">IF(B1=1,SUM(O15:O17)/(COUNT(O15:O17)),"")</f>
        <v/>
      </c>
      <c r="Y9" s="73" t="str">
        <f aca="false">IF(B1=1,SUM(S15:S17)/COUNT(S15:S17),"")</f>
        <v/>
      </c>
      <c r="Z9" s="0" t="str">
        <f aca="false">IF(B1=1,IF(COUNT(S15:S17)&lt;3,3-COUNT(S15:S17),""),"")</f>
        <v/>
      </c>
    </row>
    <row r="10" customFormat="false" ht="15" hidden="false" customHeight="false" outlineLevel="0" collapsed="false">
      <c r="A10" s="68" t="n">
        <v>44312</v>
      </c>
      <c r="B10" s="69" t="n">
        <v>7</v>
      </c>
      <c r="C10" s="70" t="n">
        <v>24</v>
      </c>
      <c r="D10" s="11" t="n">
        <v>23</v>
      </c>
      <c r="E10" s="11" t="n">
        <v>41</v>
      </c>
      <c r="F10" s="11" t="n">
        <v>25</v>
      </c>
      <c r="G10" s="71" t="n">
        <f aca="false">(E10/0.6)/100</f>
        <v>0.683333333333334</v>
      </c>
      <c r="H10" s="71" t="n">
        <f aca="false">(F10/0.6)/100</f>
        <v>0.416666666666667</v>
      </c>
      <c r="I10" s="71" t="n">
        <f aca="false">D10+G10+H10</f>
        <v>24.1</v>
      </c>
      <c r="J10" s="71" t="n">
        <f aca="false">C10-I10</f>
        <v>-0.100000000000001</v>
      </c>
      <c r="K10" s="11" t="n">
        <v>6</v>
      </c>
      <c r="L10" s="11" t="n">
        <v>20</v>
      </c>
      <c r="M10" s="71" t="n">
        <f aca="false">(L10/0.6)/100</f>
        <v>0.333333333333333</v>
      </c>
      <c r="N10" s="71" t="n">
        <f aca="false">K10+M10</f>
        <v>6.33333333333333</v>
      </c>
      <c r="O10" s="71" t="n">
        <f aca="false">N10+J10</f>
        <v>6.23333333333333</v>
      </c>
      <c r="P10" s="71" t="n">
        <f aca="false">ROUNDDOWN(O10,0)</f>
        <v>6</v>
      </c>
      <c r="Q10" s="71" t="n">
        <f aca="false">(O10-P10)*0.6</f>
        <v>0.139999999999999</v>
      </c>
      <c r="R10" s="11" t="n">
        <v>4</v>
      </c>
      <c r="S10" s="71" t="n">
        <f aca="false">IF(R10&gt;0,R10-1,"")</f>
        <v>3</v>
      </c>
      <c r="T10" s="72" t="n">
        <f aca="false">P10</f>
        <v>6</v>
      </c>
      <c r="U10" s="72" t="n">
        <f aca="false">Q10*100</f>
        <v>13.9999999999999</v>
      </c>
      <c r="W10" s="0" t="str">
        <f aca="false">IF(B1=1,"NS_AVG","")</f>
        <v/>
      </c>
      <c r="X10" s="73" t="str">
        <f aca="false">IF(B1=1,SUM(O4:O10)/(COUNT(O4:O10)),"")</f>
        <v/>
      </c>
      <c r="Y10" s="73" t="str">
        <f aca="false">IF(B1=1,SUM(S4:S10)/COUNT(S4:S10),"")</f>
        <v/>
      </c>
      <c r="Z10" s="0" t="str">
        <f aca="false">IF(B1=1,IF(COUNT(S4:S10)&lt;7,7-COUNT(S4:S10),""),"")</f>
        <v/>
      </c>
    </row>
    <row r="11" customFormat="false" ht="16.4" hidden="false" customHeight="false" outlineLevel="0" collapsed="false">
      <c r="A11" s="68" t="n">
        <v>44313</v>
      </c>
      <c r="B11" s="69" t="n">
        <v>8</v>
      </c>
      <c r="C11" s="63" t="n">
        <v>24</v>
      </c>
      <c r="D11" s="11" t="n">
        <v>26</v>
      </c>
      <c r="E11" s="11" t="n">
        <v>5</v>
      </c>
      <c r="F11" s="11" t="n">
        <v>20</v>
      </c>
      <c r="G11" s="71" t="n">
        <f aca="false">(E11/0.6)/100</f>
        <v>0.0833333333333333</v>
      </c>
      <c r="H11" s="71" t="n">
        <f aca="false">(F11/0.6)/100</f>
        <v>0.333333333333333</v>
      </c>
      <c r="I11" s="71" t="n">
        <f aca="false">D11+G11+H11</f>
        <v>26.4166666666667</v>
      </c>
      <c r="J11" s="71" t="n">
        <f aca="false">C11-I11</f>
        <v>-2.41666666666666</v>
      </c>
      <c r="K11" s="11" t="n">
        <v>7</v>
      </c>
      <c r="L11" s="11" t="n">
        <v>10</v>
      </c>
      <c r="M11" s="71" t="n">
        <f aca="false">(L11/0.6)/100</f>
        <v>0.166666666666667</v>
      </c>
      <c r="N11" s="71" t="n">
        <f aca="false">K11+M11</f>
        <v>7.16666666666667</v>
      </c>
      <c r="O11" s="71" t="n">
        <f aca="false">N11+J11</f>
        <v>4.75</v>
      </c>
      <c r="P11" s="71" t="n">
        <f aca="false">ROUNDDOWN(O11,0)</f>
        <v>4</v>
      </c>
      <c r="Q11" s="71" t="n">
        <f aca="false">(O11-P11)*0.6</f>
        <v>0.450000000000002</v>
      </c>
      <c r="R11" s="11" t="n">
        <v>4</v>
      </c>
      <c r="S11" s="71" t="n">
        <f aca="false">IF(R11&gt;0,R11-1,"")</f>
        <v>3</v>
      </c>
      <c r="T11" s="72" t="n">
        <f aca="false">P11</f>
        <v>4</v>
      </c>
      <c r="U11" s="72" t="n">
        <f aca="false">Q11*100</f>
        <v>45.0000000000002</v>
      </c>
      <c r="W11" s="75" t="str">
        <f aca="false">IF(B1=0,"ESD","")</f>
        <v>ESD</v>
      </c>
      <c r="X11" s="75" t="str">
        <f aca="false">IF(B1=0,"Time Slept","")</f>
        <v>Time Slept</v>
      </c>
      <c r="Y11" s="75" t="str">
        <f aca="false">IF(B1=0,"Sleep Quality","")</f>
        <v>Sleep Quality</v>
      </c>
      <c r="Z11" s="76" t="str">
        <f aca="false">IF(B1=0,"Missing day(s)","")</f>
        <v>Missing day(s)</v>
      </c>
    </row>
    <row r="12" customFormat="false" ht="16.4" hidden="false" customHeight="false" outlineLevel="0" collapsed="false">
      <c r="A12" s="68" t="n">
        <v>44314</v>
      </c>
      <c r="B12" s="69" t="n">
        <v>9</v>
      </c>
      <c r="C12" s="63" t="n">
        <v>24</v>
      </c>
      <c r="D12" s="11" t="n">
        <v>26</v>
      </c>
      <c r="E12" s="11" t="n">
        <v>0</v>
      </c>
      <c r="F12" s="11" t="n">
        <v>10</v>
      </c>
      <c r="G12" s="71" t="n">
        <f aca="false">(E12/0.6)/100</f>
        <v>0</v>
      </c>
      <c r="H12" s="71" t="n">
        <f aca="false">(F12/0.6)/100</f>
        <v>0.166666666666667</v>
      </c>
      <c r="I12" s="71" t="n">
        <f aca="false">D12+G12+H12</f>
        <v>26.1666666666667</v>
      </c>
      <c r="J12" s="71" t="n">
        <f aca="false">C12-I12</f>
        <v>-2.16666666666667</v>
      </c>
      <c r="K12" s="11" t="n">
        <v>7</v>
      </c>
      <c r="L12" s="11" t="n">
        <v>20</v>
      </c>
      <c r="M12" s="71" t="n">
        <f aca="false">(L12/0.6)/100</f>
        <v>0.333333333333333</v>
      </c>
      <c r="N12" s="71" t="n">
        <f aca="false">K12+M12</f>
        <v>7.33333333333333</v>
      </c>
      <c r="O12" s="71" t="n">
        <f aca="false">N12+J12</f>
        <v>5.16666666666667</v>
      </c>
      <c r="P12" s="71" t="n">
        <f aca="false">ROUNDDOWN(O12,0)</f>
        <v>5</v>
      </c>
      <c r="Q12" s="71" t="n">
        <f aca="false">(O12-P12)*0.6</f>
        <v>0.0999999999999991</v>
      </c>
      <c r="R12" s="11" t="n">
        <v>4</v>
      </c>
      <c r="S12" s="71" t="n">
        <f aca="false">IF(R12&gt;0,R12-1,"")</f>
        <v>3</v>
      </c>
      <c r="T12" s="72" t="n">
        <f aca="false">P12</f>
        <v>5</v>
      </c>
      <c r="U12" s="72" t="n">
        <f aca="false">Q12*100</f>
        <v>9.99999999999991</v>
      </c>
      <c r="W12" s="75" t="str">
        <f aca="false">IF(B1=0,"PD_NS_AVG","")</f>
        <v>PD_NS_AVG</v>
      </c>
      <c r="X12" s="75" t="n">
        <f aca="false">IF(B1=0,SUM(O4:O10)/COUNT(O4:O10),"")</f>
        <v>7.03333333333333</v>
      </c>
      <c r="Y12" s="75" t="n">
        <f aca="false">IF(B1=0,SUM(S4:S10)/COUNT(S4:S10),"")</f>
        <v>3</v>
      </c>
      <c r="Z12" s="0" t="str">
        <f aca="false">IF(B$1=0,IF(COUNT(S4:S10)&lt;7,7-COUNT(S4:S10),""),"")</f>
        <v/>
      </c>
    </row>
    <row r="13" customFormat="false" ht="16.4" hidden="false" customHeight="false" outlineLevel="0" collapsed="false">
      <c r="A13" s="68" t="n">
        <v>44315</v>
      </c>
      <c r="B13" s="69" t="n">
        <v>10</v>
      </c>
      <c r="C13" s="63" t="n">
        <v>24</v>
      </c>
      <c r="D13" s="11" t="n">
        <v>26</v>
      </c>
      <c r="E13" s="11" t="n">
        <v>0</v>
      </c>
      <c r="F13" s="11" t="n">
        <v>10</v>
      </c>
      <c r="G13" s="71" t="n">
        <f aca="false">(E13/0.6)/100</f>
        <v>0</v>
      </c>
      <c r="H13" s="71" t="n">
        <f aca="false">(F13/0.6)/100</f>
        <v>0.166666666666667</v>
      </c>
      <c r="I13" s="71" t="n">
        <f aca="false">D13+G13+H13</f>
        <v>26.1666666666667</v>
      </c>
      <c r="J13" s="71" t="n">
        <f aca="false">C13-I13</f>
        <v>-2.16666666666667</v>
      </c>
      <c r="K13" s="11" t="n">
        <v>7</v>
      </c>
      <c r="L13" s="11" t="n">
        <v>0</v>
      </c>
      <c r="M13" s="71" t="n">
        <f aca="false">(L13/0.6)/100</f>
        <v>0</v>
      </c>
      <c r="N13" s="71" t="n">
        <f aca="false">K13+M13</f>
        <v>7</v>
      </c>
      <c r="O13" s="71" t="n">
        <f aca="false">N13+J13</f>
        <v>4.83333333333333</v>
      </c>
      <c r="P13" s="71" t="n">
        <f aca="false">ROUNDDOWN(O13,0)</f>
        <v>4</v>
      </c>
      <c r="Q13" s="71" t="n">
        <f aca="false">(O13-P13)*0.6</f>
        <v>0.499999999999999</v>
      </c>
      <c r="R13" s="11" t="n">
        <v>4</v>
      </c>
      <c r="S13" s="71" t="n">
        <f aca="false">IF(R13&gt;0,R13-1,"")</f>
        <v>3</v>
      </c>
      <c r="T13" s="72" t="n">
        <f aca="false">P13</f>
        <v>4</v>
      </c>
      <c r="U13" s="72" t="n">
        <f aca="false">Q13*100</f>
        <v>49.9999999999999</v>
      </c>
      <c r="W13" s="75" t="str">
        <f aca="false">IF(B1=0,"DP_PSD_AVG","")</f>
        <v>DP_PSD_AVG</v>
      </c>
      <c r="X13" s="75" t="n">
        <f aca="false">IF(B1=0,SUM(O11:O13)/(COUNT(O11:O13)),"")</f>
        <v>4.91666666666667</v>
      </c>
      <c r="Y13" s="75" t="n">
        <f aca="false">IF(B1=0,SUM(S11:S13)/COUNT(S11:S13),"")</f>
        <v>3</v>
      </c>
      <c r="Z13" s="0" t="str">
        <f aca="false">IF(B$1=0,IF(COUNT(S11:S13)&lt;3,3-COUNT(S11:S13),""),"")</f>
        <v/>
      </c>
    </row>
    <row r="14" customFormat="false" ht="16.4" hidden="false" customHeight="false" outlineLevel="0" collapsed="false">
      <c r="A14" s="68" t="n">
        <v>44316</v>
      </c>
      <c r="B14" s="69" t="n">
        <v>11</v>
      </c>
      <c r="C14" s="63" t="n">
        <v>24</v>
      </c>
      <c r="D14" s="11" t="n">
        <v>24</v>
      </c>
      <c r="E14" s="11" t="n">
        <v>0</v>
      </c>
      <c r="F14" s="11" t="n">
        <v>10</v>
      </c>
      <c r="G14" s="71" t="n">
        <f aca="false">(E14/0.6)/100</f>
        <v>0</v>
      </c>
      <c r="H14" s="71" t="n">
        <f aca="false">(F14/0.6)/100</f>
        <v>0.166666666666667</v>
      </c>
      <c r="I14" s="71" t="n">
        <f aca="false">D14+G14+H14</f>
        <v>24.1666666666667</v>
      </c>
      <c r="J14" s="71" t="n">
        <f aca="false">C14-I14</f>
        <v>-0.166666666666668</v>
      </c>
      <c r="K14" s="11" t="n">
        <v>8</v>
      </c>
      <c r="L14" s="11" t="n">
        <v>0</v>
      </c>
      <c r="M14" s="71" t="n">
        <f aca="false">(L14/0.6)/100</f>
        <v>0</v>
      </c>
      <c r="N14" s="71" t="n">
        <f aca="false">K14+M14</f>
        <v>8</v>
      </c>
      <c r="O14" s="71" t="n">
        <f aca="false">N14+J14</f>
        <v>7.83333333333333</v>
      </c>
      <c r="P14" s="71" t="n">
        <f aca="false">ROUNDDOWN(O14,0)</f>
        <v>7</v>
      </c>
      <c r="Q14" s="71" t="n">
        <f aca="false">(O14-P14)*0.6</f>
        <v>0.499999999999999</v>
      </c>
      <c r="R14" s="11" t="n">
        <v>4</v>
      </c>
      <c r="S14" s="71" t="n">
        <f aca="false">IF(R14&gt;0,R14-1,"")</f>
        <v>3</v>
      </c>
      <c r="T14" s="72" t="n">
        <f aca="false">P14</f>
        <v>7</v>
      </c>
      <c r="U14" s="72" t="n">
        <f aca="false">Q14*100</f>
        <v>49.9999999999999</v>
      </c>
      <c r="W14" s="75" t="str">
        <f aca="false">IF(B1=0,"NS_AVG","")</f>
        <v>NS_AVG</v>
      </c>
      <c r="X14" s="75" t="n">
        <f aca="false">IF(B1=0,SUM(O14:O20)/(COUNT(O14:O20)),"")</f>
        <v>7.61428571428571</v>
      </c>
      <c r="Y14" s="75" t="n">
        <f aca="false">IF(B1=0,SUM(S14:S20)/COUNT(S14:S20),"")</f>
        <v>3</v>
      </c>
      <c r="Z14" s="0" t="str">
        <f aca="false">IF(B$1=0,IF(COUNT(S14:S20)&lt;7,7-COUNT(S14:S20),""),"")</f>
        <v/>
      </c>
    </row>
    <row r="15" customFormat="false" ht="15" hidden="false" customHeight="false" outlineLevel="0" collapsed="false">
      <c r="A15" s="68" t="n">
        <v>44317</v>
      </c>
      <c r="B15" s="69" t="n">
        <v>12</v>
      </c>
      <c r="C15" s="63" t="n">
        <v>24</v>
      </c>
      <c r="D15" s="11" t="n">
        <v>24</v>
      </c>
      <c r="E15" s="11" t="n">
        <v>25</v>
      </c>
      <c r="F15" s="11" t="n">
        <v>40</v>
      </c>
      <c r="G15" s="71" t="n">
        <f aca="false">(E15/0.6)/100</f>
        <v>0.416666666666667</v>
      </c>
      <c r="H15" s="71" t="n">
        <f aca="false">(F15/0.6)/100</f>
        <v>0.666666666666667</v>
      </c>
      <c r="I15" s="71" t="n">
        <f aca="false">D15+G15+H15</f>
        <v>25.0833333333333</v>
      </c>
      <c r="J15" s="71" t="n">
        <f aca="false">C15-I15</f>
        <v>-1.08333333333334</v>
      </c>
      <c r="K15" s="11" t="n">
        <v>9</v>
      </c>
      <c r="L15" s="11" t="n">
        <v>0</v>
      </c>
      <c r="M15" s="71" t="n">
        <f aca="false">(L15/0.6)/100</f>
        <v>0</v>
      </c>
      <c r="N15" s="71" t="n">
        <f aca="false">K15+M15</f>
        <v>9</v>
      </c>
      <c r="O15" s="71" t="n">
        <f aca="false">N15+J15</f>
        <v>7.91666666666666</v>
      </c>
      <c r="P15" s="71" t="n">
        <f aca="false">ROUNDDOWN(O15,0)</f>
        <v>7</v>
      </c>
      <c r="Q15" s="71" t="n">
        <f aca="false">(O15-P15)*0.6</f>
        <v>0.549999999999999</v>
      </c>
      <c r="R15" s="11" t="n">
        <v>4</v>
      </c>
      <c r="S15" s="71" t="n">
        <f aca="false">IF(R15&gt;0,R15-1,"")</f>
        <v>3</v>
      </c>
      <c r="T15" s="72" t="n">
        <f aca="false">P15</f>
        <v>7</v>
      </c>
      <c r="U15" s="72" t="n">
        <f aca="false">Q15*100</f>
        <v>54.9999999999999</v>
      </c>
      <c r="W15" s="77" t="s">
        <v>251</v>
      </c>
      <c r="X15" s="78" t="n">
        <f aca="false" t="array" ref="X15:X15">_xlfn.IFS(B1=0,X12-X13,B1=1,X8-X9)</f>
        <v>2.11666666666667</v>
      </c>
      <c r="Y15" s="79" t="s">
        <v>252</v>
      </c>
      <c r="Z15" s="78" t="n">
        <f aca="false" t="array" ref="Z15:Z15">_xlfn.IFS(B1=0,X14-X13,B1=1,X10-X9)</f>
        <v>2.69761904761905</v>
      </c>
      <c r="AA15" s="80" t="s">
        <v>253</v>
      </c>
    </row>
    <row r="16" customFormat="false" ht="15" hidden="false" customHeight="false" outlineLevel="0" collapsed="false">
      <c r="A16" s="68" t="n">
        <v>44318</v>
      </c>
      <c r="B16" s="69" t="n">
        <v>13</v>
      </c>
      <c r="C16" s="63" t="n">
        <v>24</v>
      </c>
      <c r="D16" s="11" t="n">
        <v>24</v>
      </c>
      <c r="E16" s="11" t="n">
        <v>30</v>
      </c>
      <c r="F16" s="11" t="n">
        <v>10</v>
      </c>
      <c r="G16" s="71" t="n">
        <f aca="false">(E16/0.6)/100</f>
        <v>0.5</v>
      </c>
      <c r="H16" s="71" t="n">
        <f aca="false">(F16/0.6)/100</f>
        <v>0.166666666666667</v>
      </c>
      <c r="I16" s="71" t="n">
        <f aca="false">D16+G16+H16</f>
        <v>24.6666666666667</v>
      </c>
      <c r="J16" s="71" t="n">
        <f aca="false">C16-I16</f>
        <v>-0.666666666666668</v>
      </c>
      <c r="K16" s="11" t="n">
        <v>8</v>
      </c>
      <c r="L16" s="11" t="n">
        <v>6</v>
      </c>
      <c r="M16" s="71" t="n">
        <f aca="false">(L16/0.6)/100</f>
        <v>0.1</v>
      </c>
      <c r="N16" s="71" t="n">
        <f aca="false">K16+M16</f>
        <v>8.1</v>
      </c>
      <c r="O16" s="71" t="n">
        <f aca="false">N16+J16</f>
        <v>7.43333333333333</v>
      </c>
      <c r="P16" s="71" t="n">
        <f aca="false">ROUNDDOWN(O16,0)</f>
        <v>7</v>
      </c>
      <c r="Q16" s="71" t="n">
        <f aca="false">(O16-P16)*0.6</f>
        <v>0.259999999999999</v>
      </c>
      <c r="R16" s="11" t="n">
        <v>4</v>
      </c>
      <c r="S16" s="71" t="n">
        <f aca="false">IF(R16&gt;0,R16-1,"")</f>
        <v>3</v>
      </c>
      <c r="T16" s="72" t="n">
        <f aca="false">P16</f>
        <v>7</v>
      </c>
      <c r="U16" s="72" t="n">
        <f aca="false">Q16*100</f>
        <v>25.9999999999999</v>
      </c>
      <c r="X16" s="9" t="s">
        <v>254</v>
      </c>
    </row>
    <row r="17" customFormat="false" ht="15" hidden="false" customHeight="false" outlineLevel="0" collapsed="false">
      <c r="A17" s="68" t="n">
        <v>44319</v>
      </c>
      <c r="B17" s="69" t="n">
        <v>14</v>
      </c>
      <c r="C17" s="63" t="n">
        <v>24</v>
      </c>
      <c r="D17" s="11" t="n">
        <v>24</v>
      </c>
      <c r="E17" s="11" t="n">
        <v>0</v>
      </c>
      <c r="F17" s="11" t="n">
        <v>10</v>
      </c>
      <c r="G17" s="71" t="n">
        <f aca="false">(E17/0.6)/100</f>
        <v>0</v>
      </c>
      <c r="H17" s="71" t="n">
        <f aca="false">(F17/0.6)/100</f>
        <v>0.166666666666667</v>
      </c>
      <c r="I17" s="71" t="n">
        <f aca="false">D17+G17+H17</f>
        <v>24.1666666666667</v>
      </c>
      <c r="J17" s="71" t="n">
        <f aca="false">C17-I17</f>
        <v>-0.166666666666668</v>
      </c>
      <c r="K17" s="11" t="n">
        <v>7</v>
      </c>
      <c r="L17" s="11" t="n">
        <v>40</v>
      </c>
      <c r="M17" s="71" t="n">
        <f aca="false">(L17/0.6)/100</f>
        <v>0.666666666666667</v>
      </c>
      <c r="N17" s="71" t="n">
        <f aca="false">K17+M17</f>
        <v>7.66666666666667</v>
      </c>
      <c r="O17" s="71" t="n">
        <f aca="false">N17+J17</f>
        <v>7.5</v>
      </c>
      <c r="P17" s="71" t="n">
        <f aca="false">ROUNDDOWN(O17,0)</f>
        <v>7</v>
      </c>
      <c r="Q17" s="71" t="n">
        <f aca="false">(O17-P17)*0.6</f>
        <v>0.299999999999999</v>
      </c>
      <c r="R17" s="11" t="n">
        <v>4</v>
      </c>
      <c r="S17" s="71" t="n">
        <f aca="false">IF(R17&gt;0,R17-1,"")</f>
        <v>3</v>
      </c>
      <c r="T17" s="72" t="n">
        <f aca="false">P17</f>
        <v>7</v>
      </c>
      <c r="U17" s="72" t="n">
        <f aca="false">Q17*100</f>
        <v>29.9999999999999</v>
      </c>
      <c r="W17" s="9" t="s">
        <v>255</v>
      </c>
    </row>
    <row r="18" customFormat="false" ht="15" hidden="false" customHeight="false" outlineLevel="0" collapsed="false">
      <c r="A18" s="68" t="n">
        <v>44320</v>
      </c>
      <c r="B18" s="69" t="n">
        <v>15</v>
      </c>
      <c r="C18" s="63" t="n">
        <v>24</v>
      </c>
      <c r="D18" s="11" t="n">
        <v>24</v>
      </c>
      <c r="E18" s="11" t="n">
        <v>25</v>
      </c>
      <c r="F18" s="11" t="n">
        <v>10</v>
      </c>
      <c r="G18" s="71" t="n">
        <f aca="false">(E18/0.6)/100</f>
        <v>0.416666666666667</v>
      </c>
      <c r="H18" s="71" t="n">
        <f aca="false">(F18/0.6)/100</f>
        <v>0.166666666666667</v>
      </c>
      <c r="I18" s="71" t="n">
        <f aca="false">D18+G18+H18</f>
        <v>24.5833333333333</v>
      </c>
      <c r="J18" s="71" t="n">
        <f aca="false">C18-I18</f>
        <v>-0.583333333333336</v>
      </c>
      <c r="K18" s="11" t="n">
        <v>7</v>
      </c>
      <c r="L18" s="11" t="n">
        <v>35</v>
      </c>
      <c r="M18" s="71" t="n">
        <f aca="false">(L18/0.6)/100</f>
        <v>0.583333333333333</v>
      </c>
      <c r="N18" s="71" t="n">
        <f aca="false">K18+M18</f>
        <v>7.58333333333333</v>
      </c>
      <c r="O18" s="71" t="n">
        <f aca="false">N18+J18</f>
        <v>7</v>
      </c>
      <c r="P18" s="71" t="n">
        <f aca="false">ROUNDDOWN(O18,0)</f>
        <v>7</v>
      </c>
      <c r="Q18" s="71" t="n">
        <f aca="false">(O18-P18)*0.6</f>
        <v>0</v>
      </c>
      <c r="R18" s="11" t="n">
        <v>4</v>
      </c>
      <c r="S18" s="71" t="n">
        <f aca="false">IF(R18&gt;0,R18-1,"")</f>
        <v>3</v>
      </c>
      <c r="T18" s="72" t="n">
        <f aca="false">P18</f>
        <v>7</v>
      </c>
      <c r="U18" s="72" t="n">
        <f aca="false">Q18*100</f>
        <v>0</v>
      </c>
    </row>
    <row r="19" customFormat="false" ht="15" hidden="false" customHeight="false" outlineLevel="0" collapsed="false">
      <c r="A19" s="68" t="n">
        <v>44321</v>
      </c>
      <c r="B19" s="69" t="n">
        <v>16</v>
      </c>
      <c r="C19" s="63" t="n">
        <v>24</v>
      </c>
      <c r="D19" s="11" t="n">
        <v>23</v>
      </c>
      <c r="E19" s="11" t="n">
        <v>40</v>
      </c>
      <c r="F19" s="11" t="n">
        <v>15</v>
      </c>
      <c r="G19" s="71" t="n">
        <f aca="false">(E19/0.6)/100</f>
        <v>0.666666666666667</v>
      </c>
      <c r="H19" s="71" t="n">
        <f aca="false">(F19/0.6)/100</f>
        <v>0.25</v>
      </c>
      <c r="I19" s="71" t="n">
        <f aca="false">D19+G19+H19</f>
        <v>23.9166666666667</v>
      </c>
      <c r="J19" s="71" t="n">
        <f aca="false">C19-I19</f>
        <v>0.0833333333333322</v>
      </c>
      <c r="K19" s="11" t="n">
        <v>8</v>
      </c>
      <c r="L19" s="11" t="n">
        <v>0</v>
      </c>
      <c r="M19" s="71" t="n">
        <f aca="false">(L19/0.6)/100</f>
        <v>0</v>
      </c>
      <c r="N19" s="71" t="n">
        <f aca="false">K19+M19</f>
        <v>8</v>
      </c>
      <c r="O19" s="71" t="n">
        <f aca="false">N19+J19</f>
        <v>8.08333333333333</v>
      </c>
      <c r="P19" s="71" t="n">
        <f aca="false">ROUNDDOWN(O19,0)</f>
        <v>8</v>
      </c>
      <c r="Q19" s="71" t="n">
        <f aca="false">(O19-P19)*0.6</f>
        <v>0.0499999999999993</v>
      </c>
      <c r="R19" s="11" t="n">
        <v>4</v>
      </c>
      <c r="S19" s="71" t="n">
        <f aca="false">IF(R19&gt;0,R19-1,"")</f>
        <v>3</v>
      </c>
      <c r="T19" s="72" t="n">
        <f aca="false">P19</f>
        <v>8</v>
      </c>
      <c r="U19" s="72" t="n">
        <f aca="false">Q19*100</f>
        <v>4.99999999999993</v>
      </c>
    </row>
    <row r="20" customFormat="false" ht="15" hidden="false" customHeight="false" outlineLevel="0" collapsed="false">
      <c r="A20" s="68" t="n">
        <v>44322</v>
      </c>
      <c r="B20" s="69" t="n">
        <v>17</v>
      </c>
      <c r="C20" s="63" t="n">
        <v>24</v>
      </c>
      <c r="D20" s="11" t="n">
        <v>23</v>
      </c>
      <c r="E20" s="11" t="n">
        <v>18</v>
      </c>
      <c r="F20" s="11" t="n">
        <v>10</v>
      </c>
      <c r="G20" s="71" t="n">
        <f aca="false">(E20/0.6)/100</f>
        <v>0.3</v>
      </c>
      <c r="H20" s="71" t="n">
        <f aca="false">(F20/0.6)/100</f>
        <v>0.166666666666667</v>
      </c>
      <c r="I20" s="71" t="n">
        <f aca="false">D20+G20+H20</f>
        <v>23.4666666666667</v>
      </c>
      <c r="J20" s="71" t="n">
        <f aca="false">C20-I20</f>
        <v>0.533333333333331</v>
      </c>
      <c r="K20" s="11" t="n">
        <v>7</v>
      </c>
      <c r="L20" s="11" t="n">
        <v>0</v>
      </c>
      <c r="M20" s="71" t="n">
        <f aca="false">(L20/0.6)/100</f>
        <v>0</v>
      </c>
      <c r="N20" s="71" t="n">
        <f aca="false">K20+M20</f>
        <v>7</v>
      </c>
      <c r="O20" s="71" t="n">
        <f aca="false">N20+J20</f>
        <v>7.53333333333333</v>
      </c>
      <c r="P20" s="71" t="n">
        <f aca="false">ROUNDDOWN(O20,0)</f>
        <v>7</v>
      </c>
      <c r="Q20" s="71" t="n">
        <f aca="false">(O20-P20)*0.6</f>
        <v>0.319999999999999</v>
      </c>
      <c r="R20" s="11" t="n">
        <v>4</v>
      </c>
      <c r="S20" s="71" t="n">
        <f aca="false">IF(R20&gt;0,R20-1,"")</f>
        <v>3</v>
      </c>
      <c r="T20" s="72" t="n">
        <f aca="false">P20</f>
        <v>7</v>
      </c>
      <c r="U20" s="72" t="n">
        <f aca="false">Q20*100</f>
        <v>31.9999999999999</v>
      </c>
    </row>
    <row r="24" customFormat="false" ht="15" hidden="false" customHeight="false" outlineLevel="0" collapsed="false">
      <c r="R24" s="0" t="s">
        <v>256</v>
      </c>
    </row>
    <row r="26" customFormat="false" ht="16.4" hidden="false" customHeight="false" outlineLevel="0" collapsed="false">
      <c r="B26" s="0" t="s">
        <v>257</v>
      </c>
      <c r="K26" s="0" t="s">
        <v>258</v>
      </c>
    </row>
    <row r="27" customFormat="false" ht="16.4" hidden="false" customHeight="false" outlineLevel="0" collapsed="false">
      <c r="B27" s="0" t="s">
        <v>259</v>
      </c>
      <c r="K27" s="0" t="s">
        <v>260</v>
      </c>
    </row>
    <row r="28" customFormat="false" ht="15" hidden="false" customHeight="false" outlineLevel="0" collapsed="false">
      <c r="B28" s="0" t="s">
        <v>261</v>
      </c>
    </row>
    <row r="62" customFormat="false" ht="15" hidden="false" customHeight="false" outlineLevel="0" collapsed="false">
      <c r="B62" s="0" t="s">
        <v>262</v>
      </c>
    </row>
    <row r="63" customFormat="false" ht="15" hidden="false" customHeight="false" outlineLevel="0" collapsed="false">
      <c r="B63" s="69" t="str">
        <f aca="false">IF(C15="ESD",15,"")</f>
        <v/>
      </c>
      <c r="C63" s="63" t="str">
        <f aca="false">IF(C15="ESD",24,"")</f>
        <v/>
      </c>
      <c r="D63" s="11"/>
      <c r="E63" s="11"/>
      <c r="F63" s="11"/>
      <c r="G63" s="71" t="str">
        <f aca="false">IF(C15="ESD",(E63/0.6)/100,"")</f>
        <v/>
      </c>
      <c r="H63" s="71" t="str">
        <f aca="false">IF(C15="ESD",(F63/0.6)/100,"")</f>
        <v/>
      </c>
      <c r="I63" s="71" t="str">
        <f aca="false">IF(C15="ESD",D63+G63+H63,"")</f>
        <v/>
      </c>
      <c r="J63" s="71" t="str">
        <f aca="false">IF(C15="ESD",C63-I63,"")</f>
        <v/>
      </c>
      <c r="K63" s="11"/>
      <c r="L63" s="11"/>
      <c r="M63" s="71" t="str">
        <f aca="false">IF(C15="ESD",(L63/0.6)/100,"")</f>
        <v/>
      </c>
      <c r="N63" s="71" t="str">
        <f aca="false">IF(C15="ESD",K63+M63,"")</f>
        <v/>
      </c>
      <c r="O63" s="71" t="str">
        <f aca="false">IF(C15="ESD",N63+J63,"")</f>
        <v/>
      </c>
      <c r="P63" s="71" t="str">
        <f aca="false">IF(C15="ESD",ROUNDDOWN(O63,0),"")</f>
        <v/>
      </c>
      <c r="Q63" s="71" t="str">
        <f aca="false">IF(C15="ESD",(O63-P63)*0.6,"")</f>
        <v/>
      </c>
      <c r="R63" s="11"/>
      <c r="S63" s="11"/>
      <c r="T63" s="72" t="str">
        <f aca="false">IF(C15="ESD",P63,"")</f>
        <v/>
      </c>
      <c r="U63" s="72" t="str">
        <f aca="false">IF(C15="ESD",Q63*100,"")</f>
        <v/>
      </c>
    </row>
  </sheetData>
  <conditionalFormatting sqref="X12:Z14">
    <cfRule type="expression" priority="2" aboveAverage="0" equalAverage="0" bottom="0" percent="0" rank="0" text="" dxfId="0">
      <formula>LEN(TRIM(X12))&gt;0</formula>
    </cfRule>
  </conditionalFormatting>
  <conditionalFormatting sqref="X12:Y14">
    <cfRule type="expression" priority="3" aboveAverage="0" equalAverage="0" bottom="0" percent="0" rank="0" text="" dxfId="1">
      <formula>LEN(TRIM(X12))&gt;0</formula>
    </cfRule>
  </conditionalFormatting>
  <conditionalFormatting sqref="AA12">
    <cfRule type="expression" priority="4" aboveAverage="0" equalAverage="0" bottom="0" percent="0" rank="0" text="" dxfId="2">
      <formula>LEN(TRIM(AA12))&gt;0</formula>
    </cfRule>
  </conditionalFormatting>
  <conditionalFormatting sqref="W11:Z11">
    <cfRule type="expression" priority="5" aboveAverage="0" equalAverage="0" bottom="0" percent="0" rank="0" text="" dxfId="3">
      <formula>LEN(TRIM(W11))&gt;0</formula>
    </cfRule>
  </conditionalFormatting>
  <conditionalFormatting sqref="W12:W14">
    <cfRule type="expression" priority="6" aboveAverage="0" equalAverage="0" bottom="0" percent="0" rank="0" text="" dxfId="4">
      <formula>LEN(TRIM(W12))&gt;0</formula>
    </cfRule>
  </conditionalFormatting>
  <conditionalFormatting sqref="W7:Z7 W8:W10">
    <cfRule type="expression" priority="7" aboveAverage="0" equalAverage="0" bottom="0" percent="0" rank="0" text="" dxfId="5">
      <formula>LEN(TRIM(W7))&gt;0</formula>
    </cfRule>
  </conditionalFormatting>
  <conditionalFormatting sqref="Z8:Z10 Z12:Z14">
    <cfRule type="expression" priority="8" aboveAverage="0" equalAverage="0" bottom="0" percent="0" rank="0" text="" dxfId="6">
      <formula>LEN(TRIM(Z8))&gt;0</formula>
    </cfRule>
  </conditionalFormatting>
  <conditionalFormatting sqref="X8:Y10">
    <cfRule type="expression" priority="9" aboveAverage="0" equalAverage="0" bottom="0" percent="0" rank="0" text="" dxfId="7">
      <formula>LEN(TRIM(X8))&gt;0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9" activeCellId="1" sqref="B15:D16 B1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3"/>
  </cols>
  <sheetData>
    <row r="1" customFormat="false" ht="15" hidden="false" customHeight="false" outlineLevel="0" collapsed="false">
      <c r="A1" s="64" t="s">
        <v>232</v>
      </c>
      <c r="B1" s="9" t="s">
        <v>263</v>
      </c>
      <c r="C1" s="9" t="s">
        <v>264</v>
      </c>
      <c r="D1" s="9" t="s">
        <v>265</v>
      </c>
      <c r="E1" s="9" t="s">
        <v>266</v>
      </c>
      <c r="F1" s="9" t="s">
        <v>267</v>
      </c>
      <c r="G1" s="9" t="s">
        <v>268</v>
      </c>
      <c r="H1" s="9" t="s">
        <v>269</v>
      </c>
      <c r="I1" s="9" t="s">
        <v>270</v>
      </c>
    </row>
    <row r="2" customFormat="false" ht="15" hidden="false" customHeight="false" outlineLevel="0" collapsed="false">
      <c r="A2" s="68" t="n">
        <v>44306</v>
      </c>
      <c r="B2" s="81" t="n">
        <v>0.936111111111111</v>
      </c>
      <c r="C2" s="81" t="n">
        <v>0.975694444444445</v>
      </c>
      <c r="D2" s="0" t="n">
        <v>15</v>
      </c>
      <c r="E2" s="0" t="n">
        <v>0</v>
      </c>
      <c r="F2" s="0" t="n">
        <v>0</v>
      </c>
      <c r="G2" s="81" t="n">
        <v>0.296527777777778</v>
      </c>
      <c r="H2" s="81" t="n">
        <v>0.346527777777778</v>
      </c>
      <c r="I2" s="0" t="n">
        <v>4</v>
      </c>
    </row>
    <row r="3" customFormat="false" ht="15" hidden="false" customHeight="false" outlineLevel="0" collapsed="false">
      <c r="A3" s="68" t="n">
        <v>44307</v>
      </c>
      <c r="B3" s="81" t="n">
        <v>0.975694444444445</v>
      </c>
      <c r="C3" s="81" t="n">
        <v>0.000694444444444445</v>
      </c>
      <c r="D3" s="0" t="n">
        <v>25</v>
      </c>
      <c r="E3" s="0" t="n">
        <v>0</v>
      </c>
      <c r="F3" s="0" t="n">
        <v>0</v>
      </c>
      <c r="G3" s="81" t="n">
        <v>0.309722222222222</v>
      </c>
      <c r="H3" s="81" t="n">
        <v>0.333333333333333</v>
      </c>
      <c r="I3" s="0" t="n">
        <v>4</v>
      </c>
    </row>
    <row r="4" customFormat="false" ht="15" hidden="false" customHeight="false" outlineLevel="0" collapsed="false">
      <c r="A4" s="68" t="n">
        <v>44308</v>
      </c>
      <c r="B4" s="81" t="n">
        <v>0.984027777777778</v>
      </c>
      <c r="C4" s="81" t="n">
        <v>0.986111111111111</v>
      </c>
      <c r="D4" s="0" t="n">
        <v>20</v>
      </c>
      <c r="E4" s="0" t="n">
        <v>0</v>
      </c>
      <c r="F4" s="0" t="n">
        <v>0</v>
      </c>
      <c r="G4" s="81" t="n">
        <v>0.291666666666667</v>
      </c>
      <c r="H4" s="81" t="n">
        <v>0.292361111111111</v>
      </c>
      <c r="I4" s="0" t="n">
        <v>4</v>
      </c>
    </row>
    <row r="5" customFormat="false" ht="15" hidden="false" customHeight="false" outlineLevel="0" collapsed="false">
      <c r="A5" s="68" t="n">
        <v>44309</v>
      </c>
      <c r="B5" s="81" t="n">
        <v>0.955555555555556</v>
      </c>
      <c r="C5" s="81" t="n">
        <v>0.997916666666667</v>
      </c>
      <c r="D5" s="0" t="n">
        <v>15</v>
      </c>
      <c r="E5" s="0" t="n">
        <v>1</v>
      </c>
      <c r="F5" s="0" t="n">
        <v>10</v>
      </c>
      <c r="G5" s="81" t="n">
        <v>0.291666666666667</v>
      </c>
      <c r="H5" s="81" t="n">
        <v>0.315277777777778</v>
      </c>
      <c r="I5" s="0" t="n">
        <v>4</v>
      </c>
    </row>
    <row r="6" customFormat="false" ht="15" hidden="false" customHeight="false" outlineLevel="0" collapsed="false">
      <c r="A6" s="68" t="n">
        <v>44310</v>
      </c>
      <c r="B6" s="81" t="n">
        <v>0.0194444444444444</v>
      </c>
      <c r="C6" s="81" t="n">
        <v>0.0625</v>
      </c>
      <c r="D6" s="0" t="n">
        <v>10</v>
      </c>
      <c r="E6" s="0" t="n">
        <v>0</v>
      </c>
      <c r="F6" s="0" t="n">
        <v>0</v>
      </c>
      <c r="G6" s="81" t="n">
        <v>0.365972222222222</v>
      </c>
      <c r="H6" s="81" t="n">
        <v>0.4375</v>
      </c>
      <c r="I6" s="0" t="n">
        <v>4</v>
      </c>
    </row>
    <row r="7" customFormat="false" ht="15" hidden="false" customHeight="false" outlineLevel="0" collapsed="false">
      <c r="A7" s="68" t="n">
        <v>44311</v>
      </c>
      <c r="B7" s="81" t="n">
        <v>0.998611111111111</v>
      </c>
      <c r="C7" s="81" t="n">
        <v>0.0333333333333333</v>
      </c>
      <c r="D7" s="0" t="n">
        <v>5</v>
      </c>
      <c r="E7" s="0" t="n">
        <v>0</v>
      </c>
      <c r="F7" s="0" t="n">
        <v>0</v>
      </c>
      <c r="G7" s="81" t="n">
        <v>0.354861111111111</v>
      </c>
      <c r="H7" s="81" t="n">
        <v>0.416666666666667</v>
      </c>
      <c r="I7" s="0" t="n">
        <v>4</v>
      </c>
    </row>
    <row r="8" customFormat="false" ht="15" hidden="false" customHeight="false" outlineLevel="0" collapsed="false">
      <c r="A8" s="68" t="n">
        <v>44312</v>
      </c>
      <c r="B8" s="81" t="n">
        <v>0.951388888888889</v>
      </c>
      <c r="C8" s="81" t="n">
        <v>0.986805555555556</v>
      </c>
      <c r="D8" s="0" t="n">
        <v>25</v>
      </c>
      <c r="E8" s="0" t="n">
        <v>0</v>
      </c>
      <c r="F8" s="0" t="n">
        <v>0</v>
      </c>
      <c r="G8" s="81" t="n">
        <v>0.263888888888889</v>
      </c>
      <c r="H8" s="81" t="n">
        <v>0.274305555555556</v>
      </c>
      <c r="I8" s="0" t="n">
        <v>4</v>
      </c>
    </row>
    <row r="9" customFormat="false" ht="15" hidden="false" customHeight="false" outlineLevel="0" collapsed="false">
      <c r="A9" s="68" t="n">
        <v>44313</v>
      </c>
      <c r="B9" s="81" t="n">
        <v>0</v>
      </c>
      <c r="C9" s="81" t="n">
        <v>0.0868055555555556</v>
      </c>
      <c r="D9" s="0" t="n">
        <v>20</v>
      </c>
      <c r="E9" s="0" t="n">
        <v>0</v>
      </c>
      <c r="F9" s="0" t="n">
        <v>0</v>
      </c>
      <c r="G9" s="81" t="n">
        <v>0.298611111111111</v>
      </c>
      <c r="H9" s="81" t="n">
        <v>0.345833333333333</v>
      </c>
      <c r="I9" s="0" t="n">
        <v>4</v>
      </c>
    </row>
    <row r="10" customFormat="false" ht="15" hidden="false" customHeight="false" outlineLevel="0" collapsed="false">
      <c r="A10" s="68" t="n">
        <v>44314</v>
      </c>
      <c r="B10" s="81" t="n">
        <v>0.03125</v>
      </c>
      <c r="C10" s="81" t="n">
        <v>0.0833333333333333</v>
      </c>
      <c r="D10" s="0" t="n">
        <v>10</v>
      </c>
      <c r="E10" s="0" t="n">
        <v>0</v>
      </c>
      <c r="F10" s="0" t="n">
        <v>0</v>
      </c>
      <c r="G10" s="81" t="n">
        <v>0.305555555555556</v>
      </c>
      <c r="H10" s="81" t="n">
        <v>0.3125</v>
      </c>
      <c r="I10" s="0" t="n">
        <v>4</v>
      </c>
    </row>
    <row r="11" customFormat="false" ht="15" hidden="false" customHeight="false" outlineLevel="0" collapsed="false">
      <c r="A11" s="68" t="n">
        <v>44315</v>
      </c>
      <c r="B11" s="81" t="n">
        <v>0.0361111111111111</v>
      </c>
      <c r="C11" s="81" t="n">
        <v>0.0833333333333333</v>
      </c>
      <c r="D11" s="0" t="n">
        <v>10</v>
      </c>
      <c r="E11" s="0" t="n">
        <v>0</v>
      </c>
      <c r="F11" s="0" t="n">
        <v>0</v>
      </c>
      <c r="G11" s="81" t="n">
        <v>0.291666666666667</v>
      </c>
      <c r="H11" s="81" t="n">
        <v>0.302083333333333</v>
      </c>
      <c r="I11" s="0" t="n">
        <v>4</v>
      </c>
    </row>
    <row r="12" customFormat="false" ht="15" hidden="false" customHeight="false" outlineLevel="0" collapsed="false">
      <c r="A12" s="68" t="n">
        <v>44316</v>
      </c>
      <c r="B12" s="81" t="n">
        <v>0.950694444444444</v>
      </c>
      <c r="C12" s="81" t="n">
        <v>0</v>
      </c>
      <c r="D12" s="0" t="n">
        <v>10</v>
      </c>
      <c r="E12" s="0" t="n">
        <v>0</v>
      </c>
      <c r="F12" s="0" t="n">
        <v>0</v>
      </c>
      <c r="G12" s="81" t="n">
        <v>0.333333333333333</v>
      </c>
      <c r="H12" s="81" t="n">
        <v>0.357638888888889</v>
      </c>
      <c r="I12" s="0" t="n">
        <v>4</v>
      </c>
    </row>
    <row r="13" customFormat="false" ht="15" hidden="false" customHeight="false" outlineLevel="0" collapsed="false">
      <c r="A13" s="68" t="n">
        <v>44317</v>
      </c>
      <c r="B13" s="81" t="n">
        <v>0.0173611111111111</v>
      </c>
      <c r="C13" s="81" t="n">
        <v>0.0173611111111111</v>
      </c>
      <c r="D13" s="0" t="n">
        <v>40</v>
      </c>
      <c r="E13" s="0" t="n">
        <v>0</v>
      </c>
      <c r="F13" s="0" t="n">
        <v>0</v>
      </c>
      <c r="G13" s="81" t="n">
        <v>0.333333333333333</v>
      </c>
      <c r="H13" s="81" t="n">
        <v>0.430555555555556</v>
      </c>
      <c r="I13" s="0" t="n">
        <v>4</v>
      </c>
    </row>
    <row r="14" customFormat="false" ht="15" hidden="false" customHeight="false" outlineLevel="0" collapsed="false">
      <c r="A14" s="68" t="n">
        <v>44318</v>
      </c>
      <c r="B14" s="81" t="n">
        <v>0.00694444444444444</v>
      </c>
      <c r="C14" s="81" t="n">
        <v>0.0208333333333333</v>
      </c>
      <c r="D14" s="0" t="n">
        <v>10</v>
      </c>
      <c r="E14" s="0" t="n">
        <v>0</v>
      </c>
      <c r="F14" s="0" t="n">
        <v>0</v>
      </c>
      <c r="G14" s="81" t="n">
        <v>0.3375</v>
      </c>
      <c r="H14" s="81" t="n">
        <v>0.377083333333333</v>
      </c>
      <c r="I14" s="0" t="n">
        <v>4</v>
      </c>
    </row>
    <row r="15" customFormat="false" ht="15" hidden="false" customHeight="false" outlineLevel="0" collapsed="false">
      <c r="A15" s="68" t="n">
        <v>44319</v>
      </c>
      <c r="B15" s="81" t="n">
        <v>0</v>
      </c>
      <c r="C15" s="81" t="n">
        <v>0</v>
      </c>
      <c r="D15" s="0" t="n">
        <v>10</v>
      </c>
      <c r="E15" s="0" t="n">
        <v>1</v>
      </c>
      <c r="F15" s="0" t="n">
        <v>5</v>
      </c>
      <c r="G15" s="81" t="n">
        <v>0.319444444444445</v>
      </c>
      <c r="H15" s="81" t="n">
        <v>0.347222222222222</v>
      </c>
      <c r="I15" s="0" t="n">
        <v>4</v>
      </c>
    </row>
    <row r="16" customFormat="false" ht="15" hidden="false" customHeight="false" outlineLevel="0" collapsed="false">
      <c r="A16" s="68" t="n">
        <v>44320</v>
      </c>
      <c r="B16" s="81" t="n">
        <v>0.9875</v>
      </c>
      <c r="C16" s="81" t="n">
        <v>0.0173611111111111</v>
      </c>
      <c r="D16" s="0" t="n">
        <v>10</v>
      </c>
      <c r="E16" s="0" t="n">
        <v>1</v>
      </c>
      <c r="F16" s="0" t="n">
        <v>5</v>
      </c>
      <c r="G16" s="81" t="n">
        <v>0.315972222222222</v>
      </c>
      <c r="H16" s="81" t="n">
        <v>0.345138888888889</v>
      </c>
      <c r="I16" s="0" t="n">
        <v>4</v>
      </c>
    </row>
    <row r="17" customFormat="false" ht="15" hidden="false" customHeight="false" outlineLevel="0" collapsed="false">
      <c r="A17" s="68" t="n">
        <v>44321</v>
      </c>
      <c r="B17" s="81" t="n">
        <v>0.93125</v>
      </c>
      <c r="C17" s="81" t="n">
        <v>0.986111111111111</v>
      </c>
      <c r="D17" s="0" t="n">
        <v>15</v>
      </c>
      <c r="E17" s="0" t="n">
        <v>0</v>
      </c>
      <c r="F17" s="0" t="n">
        <v>0</v>
      </c>
      <c r="G17" s="81" t="n">
        <v>0.333333333333333</v>
      </c>
      <c r="H17" s="81" t="n">
        <v>0.375</v>
      </c>
      <c r="I17" s="0" t="n">
        <v>4</v>
      </c>
    </row>
    <row r="18" customFormat="false" ht="15" hidden="false" customHeight="false" outlineLevel="0" collapsed="false">
      <c r="A18" s="68" t="n">
        <v>44322</v>
      </c>
      <c r="B18" s="81" t="n">
        <v>0.949305555555556</v>
      </c>
      <c r="C18" s="81" t="n">
        <v>0.970833333333333</v>
      </c>
      <c r="D18" s="0" t="n">
        <v>10</v>
      </c>
      <c r="E18" s="0" t="n">
        <v>0</v>
      </c>
      <c r="F18" s="0" t="n">
        <v>0</v>
      </c>
      <c r="G18" s="81" t="n">
        <v>0.291666666666667</v>
      </c>
      <c r="H18" s="81" t="n">
        <v>0.315972222222222</v>
      </c>
      <c r="I18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4" activeCellId="1" sqref="B15:D16 N24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8.14"/>
    <col collapsed="false" customWidth="true" hidden="false" outlineLevel="0" max="2" min="2" style="0" width="7.15"/>
    <col collapsed="false" customWidth="true" hidden="false" outlineLevel="0" max="3" min="3" style="0" width="12.86"/>
    <col collapsed="false" customWidth="true" hidden="false" outlineLevel="0" max="4" min="4" style="0" width="2.14"/>
    <col collapsed="false" customWidth="true" hidden="false" outlineLevel="0" max="6" min="6" style="0" width="8"/>
    <col collapsed="false" customWidth="true" hidden="false" outlineLevel="0" max="7" min="7" style="0" width="10.29"/>
    <col collapsed="false" customWidth="true" hidden="false" outlineLevel="0" max="8" min="8" style="0" width="7.43"/>
    <col collapsed="false" customWidth="true" hidden="false" outlineLevel="0" max="12" min="12" style="0" width="2.86"/>
  </cols>
  <sheetData>
    <row r="1" customFormat="false" ht="15" hidden="false" customHeight="false" outlineLevel="0" collapsed="false">
      <c r="A1" s="82" t="s">
        <v>271</v>
      </c>
      <c r="B1" s="82"/>
      <c r="C1" s="82"/>
      <c r="D1" s="82"/>
      <c r="E1" s="82"/>
      <c r="F1" s="82"/>
      <c r="G1" s="82"/>
      <c r="I1" s="83" t="s">
        <v>272</v>
      </c>
      <c r="J1" s="83"/>
      <c r="K1" s="83"/>
      <c r="L1" s="83"/>
      <c r="M1" s="83"/>
      <c r="N1" s="83"/>
      <c r="O1" s="83"/>
    </row>
    <row r="2" customFormat="false" ht="15" hidden="false" customHeight="false" outlineLevel="0" collapsed="false">
      <c r="A2" s="0" t="s">
        <v>273</v>
      </c>
      <c r="E2" s="0" t="s">
        <v>274</v>
      </c>
      <c r="I2" s="0" t="s">
        <v>273</v>
      </c>
      <c r="M2" s="0" t="s">
        <v>274</v>
      </c>
    </row>
    <row r="3" customFormat="false" ht="15" hidden="false" customHeight="false" outlineLevel="0" collapsed="false">
      <c r="A3" s="17" t="s">
        <v>68</v>
      </c>
      <c r="B3" s="17" t="s">
        <v>57</v>
      </c>
      <c r="C3" s="17" t="s">
        <v>69</v>
      </c>
      <c r="E3" s="17" t="s">
        <v>68</v>
      </c>
      <c r="F3" s="17" t="s">
        <v>57</v>
      </c>
      <c r="G3" s="17" t="s">
        <v>69</v>
      </c>
      <c r="I3" s="17" t="s">
        <v>68</v>
      </c>
      <c r="J3" s="17" t="s">
        <v>57</v>
      </c>
      <c r="K3" s="17" t="s">
        <v>69</v>
      </c>
      <c r="M3" s="17" t="s">
        <v>68</v>
      </c>
      <c r="N3" s="17" t="s">
        <v>57</v>
      </c>
      <c r="O3" s="17" t="s">
        <v>69</v>
      </c>
    </row>
    <row r="4" customFormat="false" ht="15" hidden="false" customHeight="false" outlineLevel="0" collapsed="false">
      <c r="A4" s="27" t="s">
        <v>72</v>
      </c>
      <c r="B4" s="11" t="n">
        <v>4</v>
      </c>
      <c r="C4" s="17" t="s">
        <v>275</v>
      </c>
      <c r="E4" s="27" t="s">
        <v>72</v>
      </c>
      <c r="F4" s="11" t="n">
        <v>3</v>
      </c>
      <c r="G4" s="17" t="s">
        <v>275</v>
      </c>
      <c r="I4" s="27" t="s">
        <v>72</v>
      </c>
      <c r="J4" s="11" t="n">
        <v>3</v>
      </c>
      <c r="K4" s="17" t="s">
        <v>275</v>
      </c>
      <c r="M4" s="27" t="s">
        <v>72</v>
      </c>
      <c r="N4" s="11" t="n">
        <v>3</v>
      </c>
      <c r="O4" s="17" t="s">
        <v>275</v>
      </c>
    </row>
    <row r="5" customFormat="false" ht="15" hidden="false" customHeight="false" outlineLevel="0" collapsed="false">
      <c r="A5" s="46" t="s">
        <v>78</v>
      </c>
      <c r="B5" s="11" t="n">
        <v>1</v>
      </c>
      <c r="C5" s="47" t="n">
        <f aca="false">B4+B6+B8+B12+B13+B15+B17+B19+B20+B22</f>
        <v>23</v>
      </c>
      <c r="E5" s="46" t="s">
        <v>78</v>
      </c>
      <c r="F5" s="11"/>
      <c r="G5" s="47" t="n">
        <f aca="false">F4+F6+F8+F12+F13+F15+F17+F19+F20+F22</f>
        <v>21</v>
      </c>
      <c r="I5" s="46" t="s">
        <v>78</v>
      </c>
      <c r="J5" s="11" t="n">
        <v>1</v>
      </c>
      <c r="K5" s="47" t="n">
        <f aca="false">J4+J6+J8+J12+J13+J15+J17+J19+J20+J22</f>
        <v>22</v>
      </c>
      <c r="M5" s="46" t="s">
        <v>78</v>
      </c>
      <c r="N5" s="11" t="n">
        <v>1</v>
      </c>
      <c r="O5" s="47" t="n">
        <f aca="false">N4+N6+N8+N12+N13+N15+N17+N19+N20+N22</f>
        <v>21</v>
      </c>
    </row>
    <row r="6" customFormat="false" ht="15" hidden="false" customHeight="false" outlineLevel="0" collapsed="false">
      <c r="A6" s="27" t="s">
        <v>82</v>
      </c>
      <c r="B6" s="11" t="n">
        <v>2</v>
      </c>
      <c r="E6" s="27" t="s">
        <v>82</v>
      </c>
      <c r="F6" s="11" t="n">
        <v>3</v>
      </c>
      <c r="I6" s="27" t="s">
        <v>82</v>
      </c>
      <c r="J6" s="11" t="n">
        <v>2</v>
      </c>
      <c r="M6" s="27" t="s">
        <v>82</v>
      </c>
      <c r="N6" s="11" t="n">
        <v>2</v>
      </c>
    </row>
    <row r="7" customFormat="false" ht="15" hidden="false" customHeight="false" outlineLevel="0" collapsed="false">
      <c r="A7" s="46" t="s">
        <v>85</v>
      </c>
      <c r="B7" s="11" t="n">
        <v>1</v>
      </c>
      <c r="C7" s="17" t="s">
        <v>276</v>
      </c>
      <c r="E7" s="46" t="s">
        <v>85</v>
      </c>
      <c r="F7" s="11" t="n">
        <v>2</v>
      </c>
      <c r="G7" s="17" t="s">
        <v>276</v>
      </c>
      <c r="I7" s="46" t="s">
        <v>85</v>
      </c>
      <c r="J7" s="11" t="n">
        <v>1</v>
      </c>
      <c r="K7" s="17" t="s">
        <v>87</v>
      </c>
      <c r="M7" s="46" t="s">
        <v>85</v>
      </c>
      <c r="N7" s="11" t="n">
        <v>1</v>
      </c>
      <c r="O7" s="17" t="s">
        <v>276</v>
      </c>
    </row>
    <row r="8" customFormat="false" ht="15" hidden="false" customHeight="false" outlineLevel="0" collapsed="false">
      <c r="A8" s="27" t="s">
        <v>89</v>
      </c>
      <c r="B8" s="11" t="n">
        <v>1</v>
      </c>
      <c r="C8" s="47" t="n">
        <f aca="false">B5+B7+B9+B10+B11+B14+B16+B18+B21+B23</f>
        <v>10</v>
      </c>
      <c r="E8" s="27" t="s">
        <v>89</v>
      </c>
      <c r="F8" s="11" t="n">
        <v>1</v>
      </c>
      <c r="G8" s="47" t="n">
        <f aca="false">F5+F7+F9+F10+F11+F14+F16+F18+F21+F23</f>
        <v>11</v>
      </c>
      <c r="I8" s="27" t="s">
        <v>89</v>
      </c>
      <c r="J8" s="11" t="n">
        <v>1</v>
      </c>
      <c r="K8" s="47" t="n">
        <f aca="false">J5+J7+J9+J10+J11+J14+J16+J18+J21+J23</f>
        <v>10</v>
      </c>
      <c r="M8" s="27" t="s">
        <v>89</v>
      </c>
      <c r="N8" s="11" t="n">
        <v>1</v>
      </c>
      <c r="O8" s="47" t="n">
        <f aca="false">N5+N7+N9+N10+N11+N14+N16+N18+N21+N23</f>
        <v>10</v>
      </c>
    </row>
    <row r="9" customFormat="false" ht="15" hidden="false" customHeight="false" outlineLevel="0" collapsed="false">
      <c r="A9" s="46" t="s">
        <v>91</v>
      </c>
      <c r="B9" s="11" t="n">
        <v>1</v>
      </c>
      <c r="E9" s="46" t="s">
        <v>91</v>
      </c>
      <c r="F9" s="11" t="n">
        <v>1</v>
      </c>
      <c r="I9" s="46" t="s">
        <v>91</v>
      </c>
      <c r="J9" s="11" t="n">
        <v>1</v>
      </c>
      <c r="M9" s="46" t="s">
        <v>91</v>
      </c>
      <c r="N9" s="11" t="n">
        <v>1</v>
      </c>
    </row>
    <row r="10" customFormat="false" ht="15" hidden="false" customHeight="false" outlineLevel="0" collapsed="false">
      <c r="A10" s="46" t="s">
        <v>93</v>
      </c>
      <c r="B10" s="11" t="n">
        <v>1</v>
      </c>
      <c r="E10" s="46" t="s">
        <v>93</v>
      </c>
      <c r="F10" s="11" t="n">
        <v>1</v>
      </c>
      <c r="I10" s="46" t="s">
        <v>93</v>
      </c>
      <c r="J10" s="11" t="n">
        <v>1</v>
      </c>
      <c r="M10" s="46" t="s">
        <v>93</v>
      </c>
      <c r="N10" s="11" t="n">
        <v>1</v>
      </c>
    </row>
    <row r="11" customFormat="false" ht="15" hidden="false" customHeight="false" outlineLevel="0" collapsed="false">
      <c r="A11" s="46" t="s">
        <v>94</v>
      </c>
      <c r="B11" s="11" t="n">
        <v>1</v>
      </c>
      <c r="E11" s="46" t="s">
        <v>94</v>
      </c>
      <c r="F11" s="11" t="n">
        <v>1</v>
      </c>
      <c r="I11" s="46" t="s">
        <v>94</v>
      </c>
      <c r="J11" s="11" t="n">
        <v>1</v>
      </c>
      <c r="M11" s="46" t="s">
        <v>94</v>
      </c>
      <c r="N11" s="11" t="n">
        <v>1</v>
      </c>
    </row>
    <row r="12" customFormat="false" ht="15" hidden="false" customHeight="false" outlineLevel="0" collapsed="false">
      <c r="A12" s="27" t="s">
        <v>97</v>
      </c>
      <c r="B12" s="11" t="n">
        <v>3</v>
      </c>
      <c r="E12" s="27" t="s">
        <v>97</v>
      </c>
      <c r="F12" s="11" t="n">
        <v>1</v>
      </c>
      <c r="I12" s="27" t="s">
        <v>97</v>
      </c>
      <c r="J12" s="11" t="n">
        <v>3</v>
      </c>
      <c r="M12" s="27" t="s">
        <v>97</v>
      </c>
      <c r="N12" s="11" t="n">
        <v>3</v>
      </c>
    </row>
    <row r="13" customFormat="false" ht="15" hidden="false" customHeight="false" outlineLevel="0" collapsed="false">
      <c r="A13" s="27" t="s">
        <v>101</v>
      </c>
      <c r="B13" s="11" t="n">
        <v>1</v>
      </c>
      <c r="E13" s="27" t="s">
        <v>101</v>
      </c>
      <c r="F13" s="11" t="n">
        <v>1</v>
      </c>
      <c r="I13" s="27" t="s">
        <v>101</v>
      </c>
      <c r="J13" s="11" t="n">
        <v>1</v>
      </c>
      <c r="M13" s="27" t="s">
        <v>101</v>
      </c>
      <c r="N13" s="11" t="n">
        <v>1</v>
      </c>
    </row>
    <row r="14" customFormat="false" ht="15" hidden="false" customHeight="false" outlineLevel="0" collapsed="false">
      <c r="A14" s="46" t="s">
        <v>104</v>
      </c>
      <c r="B14" s="11" t="n">
        <v>1</v>
      </c>
      <c r="E14" s="46" t="s">
        <v>104</v>
      </c>
      <c r="F14" s="11" t="n">
        <v>2</v>
      </c>
      <c r="I14" s="46" t="s">
        <v>104</v>
      </c>
      <c r="J14" s="11" t="n">
        <v>1</v>
      </c>
      <c r="M14" s="46" t="s">
        <v>104</v>
      </c>
      <c r="N14" s="11" t="n">
        <v>1</v>
      </c>
    </row>
    <row r="15" customFormat="false" ht="15" hidden="false" customHeight="false" outlineLevel="0" collapsed="false">
      <c r="A15" s="27" t="s">
        <v>107</v>
      </c>
      <c r="B15" s="11" t="n">
        <v>2</v>
      </c>
      <c r="E15" s="27" t="s">
        <v>107</v>
      </c>
      <c r="F15" s="11" t="n">
        <v>1</v>
      </c>
      <c r="I15" s="27" t="s">
        <v>107</v>
      </c>
      <c r="J15" s="11" t="n">
        <v>3</v>
      </c>
      <c r="M15" s="27" t="s">
        <v>107</v>
      </c>
      <c r="N15" s="11" t="n">
        <v>2</v>
      </c>
    </row>
    <row r="16" customFormat="false" ht="15" hidden="false" customHeight="false" outlineLevel="0" collapsed="false">
      <c r="A16" s="46" t="s">
        <v>110</v>
      </c>
      <c r="B16" s="11" t="n">
        <v>1</v>
      </c>
      <c r="E16" s="46" t="s">
        <v>110</v>
      </c>
      <c r="F16" s="11" t="n">
        <v>1</v>
      </c>
      <c r="I16" s="46" t="s">
        <v>110</v>
      </c>
      <c r="J16" s="11" t="n">
        <v>1</v>
      </c>
      <c r="M16" s="46" t="s">
        <v>110</v>
      </c>
      <c r="N16" s="11" t="n">
        <v>1</v>
      </c>
    </row>
    <row r="17" customFormat="false" ht="15" hidden="false" customHeight="false" outlineLevel="0" collapsed="false">
      <c r="A17" s="27" t="s">
        <v>113</v>
      </c>
      <c r="B17" s="11" t="n">
        <v>2</v>
      </c>
      <c r="E17" s="27" t="s">
        <v>113</v>
      </c>
      <c r="F17" s="11" t="n">
        <v>3</v>
      </c>
      <c r="I17" s="27" t="s">
        <v>113</v>
      </c>
      <c r="J17" s="11" t="n">
        <v>2</v>
      </c>
      <c r="M17" s="27" t="s">
        <v>113</v>
      </c>
      <c r="N17" s="11" t="n">
        <v>3</v>
      </c>
    </row>
    <row r="18" customFormat="false" ht="15" hidden="false" customHeight="false" outlineLevel="0" collapsed="false">
      <c r="A18" s="46" t="s">
        <v>117</v>
      </c>
      <c r="B18" s="11" t="n">
        <v>1</v>
      </c>
      <c r="E18" s="46" t="s">
        <v>117</v>
      </c>
      <c r="F18" s="11" t="n">
        <v>1</v>
      </c>
      <c r="I18" s="46" t="s">
        <v>117</v>
      </c>
      <c r="J18" s="11" t="n">
        <v>1</v>
      </c>
      <c r="M18" s="46" t="s">
        <v>117</v>
      </c>
      <c r="N18" s="11" t="n">
        <v>1</v>
      </c>
    </row>
    <row r="19" customFormat="false" ht="15" hidden="false" customHeight="false" outlineLevel="0" collapsed="false">
      <c r="A19" s="27" t="s">
        <v>120</v>
      </c>
      <c r="B19" s="11" t="n">
        <v>2</v>
      </c>
      <c r="E19" s="27" t="s">
        <v>120</v>
      </c>
      <c r="F19" s="11" t="n">
        <v>2</v>
      </c>
      <c r="I19" s="27" t="s">
        <v>120</v>
      </c>
      <c r="J19" s="11" t="n">
        <v>2</v>
      </c>
      <c r="M19" s="27" t="s">
        <v>120</v>
      </c>
      <c r="N19" s="11" t="n">
        <v>2</v>
      </c>
    </row>
    <row r="20" customFormat="false" ht="15" hidden="false" customHeight="false" outlineLevel="0" collapsed="false">
      <c r="A20" s="27" t="s">
        <v>123</v>
      </c>
      <c r="B20" s="11" t="n">
        <v>4</v>
      </c>
      <c r="E20" s="27" t="s">
        <v>123</v>
      </c>
      <c r="F20" s="11" t="n">
        <v>4</v>
      </c>
      <c r="I20" s="27" t="s">
        <v>123</v>
      </c>
      <c r="J20" s="11" t="n">
        <v>3</v>
      </c>
      <c r="M20" s="27" t="s">
        <v>123</v>
      </c>
      <c r="N20" s="11" t="n">
        <v>3</v>
      </c>
    </row>
    <row r="21" customFormat="false" ht="15" hidden="false" customHeight="false" outlineLevel="0" collapsed="false">
      <c r="A21" s="46" t="s">
        <v>126</v>
      </c>
      <c r="B21" s="11" t="n">
        <v>1</v>
      </c>
      <c r="E21" s="46" t="s">
        <v>126</v>
      </c>
      <c r="F21" s="11" t="n">
        <v>1</v>
      </c>
      <c r="I21" s="46" t="s">
        <v>126</v>
      </c>
      <c r="J21" s="11" t="n">
        <v>1</v>
      </c>
      <c r="M21" s="46" t="s">
        <v>126</v>
      </c>
      <c r="N21" s="11" t="n">
        <v>1</v>
      </c>
    </row>
    <row r="22" customFormat="false" ht="15" hidden="false" customHeight="false" outlineLevel="0" collapsed="false">
      <c r="A22" s="27" t="s">
        <v>128</v>
      </c>
      <c r="B22" s="11" t="n">
        <v>2</v>
      </c>
      <c r="E22" s="27" t="s">
        <v>128</v>
      </c>
      <c r="F22" s="11" t="n">
        <v>2</v>
      </c>
      <c r="I22" s="27" t="s">
        <v>128</v>
      </c>
      <c r="J22" s="11" t="n">
        <v>2</v>
      </c>
      <c r="M22" s="27" t="s">
        <v>128</v>
      </c>
      <c r="N22" s="11" t="n">
        <v>1</v>
      </c>
    </row>
    <row r="23" customFormat="false" ht="15" hidden="false" customHeight="false" outlineLevel="0" collapsed="false">
      <c r="A23" s="46" t="s">
        <v>130</v>
      </c>
      <c r="B23" s="11" t="n">
        <v>1</v>
      </c>
      <c r="E23" s="46" t="s">
        <v>130</v>
      </c>
      <c r="F23" s="11" t="n">
        <v>1</v>
      </c>
      <c r="I23" s="46" t="s">
        <v>130</v>
      </c>
      <c r="J23" s="11" t="n">
        <v>1</v>
      </c>
      <c r="M23" s="46" t="s">
        <v>130</v>
      </c>
      <c r="N23" s="1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G21" activeCellId="1" sqref="B15:D16 G2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15.72"/>
  </cols>
  <sheetData>
    <row r="1" customFormat="false" ht="15" hidden="false" customHeight="false" outlineLevel="0" collapsed="false">
      <c r="A1" s="0" t="s">
        <v>31</v>
      </c>
    </row>
    <row r="2" customFormat="false" ht="15" hidden="false" customHeight="false" outlineLevel="0" collapsed="false">
      <c r="A2" s="84" t="s">
        <v>277</v>
      </c>
    </row>
    <row r="3" customFormat="false" ht="15" hidden="false" customHeight="false" outlineLevel="0" collapsed="false">
      <c r="A3" s="22" t="s">
        <v>72</v>
      </c>
      <c r="B3" s="85"/>
      <c r="C3" s="9" t="s">
        <v>278</v>
      </c>
    </row>
    <row r="4" customFormat="false" ht="15" hidden="false" customHeight="false" outlineLevel="0" collapsed="false">
      <c r="A4" s="22" t="s">
        <v>172</v>
      </c>
      <c r="B4" s="11" t="n">
        <v>6</v>
      </c>
      <c r="C4" s="9" t="s">
        <v>279</v>
      </c>
    </row>
    <row r="5" customFormat="false" ht="15" hidden="false" customHeight="false" outlineLevel="0" collapsed="false">
      <c r="A5" s="22" t="s">
        <v>82</v>
      </c>
      <c r="B5" s="11" t="n">
        <v>4</v>
      </c>
      <c r="C5" s="9" t="s">
        <v>280</v>
      </c>
    </row>
    <row r="7" customFormat="false" ht="15" hidden="false" customHeight="false" outlineLevel="0" collapsed="false">
      <c r="A7" s="17" t="s">
        <v>281</v>
      </c>
    </row>
    <row r="8" customFormat="false" ht="15" hidden="false" customHeight="false" outlineLevel="0" collapsed="false">
      <c r="A8" s="5" t="s">
        <v>72</v>
      </c>
      <c r="B8" s="86" t="s">
        <v>282</v>
      </c>
      <c r="C8" s="29"/>
      <c r="D8" s="29"/>
      <c r="E8" s="29"/>
      <c r="F8" s="29"/>
      <c r="G8" s="29"/>
      <c r="H8" s="29"/>
    </row>
    <row r="9" customFormat="false" ht="15" hidden="false" customHeight="false" outlineLevel="0" collapsed="false">
      <c r="A9" s="5" t="s">
        <v>78</v>
      </c>
      <c r="B9" s="86" t="s">
        <v>283</v>
      </c>
      <c r="C9" s="29"/>
      <c r="D9" s="29"/>
      <c r="E9" s="29"/>
      <c r="F9" s="29"/>
      <c r="G9" s="29"/>
      <c r="H9" s="29"/>
    </row>
    <row r="10" customFormat="false" ht="15" hidden="false" customHeight="false" outlineLevel="0" collapsed="false">
      <c r="A10" s="87" t="s">
        <v>82</v>
      </c>
      <c r="B10" s="86" t="s">
        <v>284</v>
      </c>
      <c r="C10" s="29"/>
      <c r="D10" s="29"/>
      <c r="E10" s="29"/>
      <c r="F10" s="29"/>
      <c r="G10" s="29"/>
      <c r="H10" s="29"/>
    </row>
    <row r="11" customFormat="false" ht="15" hidden="false" customHeight="false" outlineLevel="0" collapsed="false">
      <c r="A11" s="5" t="s">
        <v>85</v>
      </c>
      <c r="B11" s="86" t="s">
        <v>285</v>
      </c>
      <c r="C11" s="29"/>
      <c r="D11" s="29"/>
      <c r="E11" s="29"/>
      <c r="F11" s="29"/>
      <c r="G11" s="29"/>
      <c r="H11" s="29"/>
    </row>
    <row r="13" customFormat="false" ht="15" hidden="false" customHeight="false" outlineLevel="0" collapsed="false">
      <c r="A13" s="17" t="s">
        <v>286</v>
      </c>
    </row>
    <row r="14" customFormat="false" ht="15" hidden="false" customHeight="false" outlineLevel="0" collapsed="false">
      <c r="A14" s="22" t="s">
        <v>287</v>
      </c>
      <c r="B14" s="11" t="n">
        <v>0</v>
      </c>
    </row>
    <row r="15" customFormat="false" ht="15" hidden="false" customHeight="false" outlineLevel="0" collapsed="false">
      <c r="A15" s="22" t="s">
        <v>288</v>
      </c>
      <c r="B15" s="11"/>
    </row>
    <row r="17" customFormat="false" ht="15" hidden="false" customHeight="false" outlineLevel="0" collapsed="false">
      <c r="A17" s="0" t="s">
        <v>33</v>
      </c>
    </row>
    <row r="18" customFormat="false" ht="15" hidden="false" customHeight="false" outlineLevel="0" collapsed="false">
      <c r="A18" s="84" t="s">
        <v>277</v>
      </c>
    </row>
    <row r="19" customFormat="false" ht="15" hidden="false" customHeight="false" outlineLevel="0" collapsed="false">
      <c r="A19" s="22" t="s">
        <v>72</v>
      </c>
      <c r="B19" s="85"/>
      <c r="C19" s="9" t="s">
        <v>278</v>
      </c>
    </row>
    <row r="20" customFormat="false" ht="15" hidden="false" customHeight="false" outlineLevel="0" collapsed="false">
      <c r="A20" s="22" t="s">
        <v>172</v>
      </c>
      <c r="B20" s="11" t="n">
        <v>6</v>
      </c>
      <c r="C20" s="9" t="s">
        <v>279</v>
      </c>
    </row>
    <row r="21" customFormat="false" ht="15" hidden="false" customHeight="false" outlineLevel="0" collapsed="false">
      <c r="A21" s="22" t="s">
        <v>82</v>
      </c>
      <c r="B21" s="11" t="n">
        <v>4</v>
      </c>
      <c r="C21" s="9" t="s">
        <v>280</v>
      </c>
    </row>
    <row r="23" customFormat="false" ht="15" hidden="false" customHeight="false" outlineLevel="0" collapsed="false">
      <c r="A23" s="17" t="s">
        <v>281</v>
      </c>
    </row>
    <row r="24" customFormat="false" ht="15" hidden="false" customHeight="false" outlineLevel="0" collapsed="false">
      <c r="A24" s="5" t="s">
        <v>72</v>
      </c>
      <c r="B24" s="86" t="s">
        <v>289</v>
      </c>
      <c r="C24" s="29"/>
      <c r="D24" s="29"/>
      <c r="E24" s="29"/>
      <c r="F24" s="29"/>
      <c r="G24" s="29"/>
      <c r="H24" s="29"/>
      <c r="I24" s="88"/>
    </row>
    <row r="25" customFormat="false" ht="15" hidden="false" customHeight="false" outlineLevel="0" collapsed="false">
      <c r="A25" s="5" t="s">
        <v>78</v>
      </c>
      <c r="B25" s="86" t="s">
        <v>290</v>
      </c>
      <c r="C25" s="29"/>
      <c r="D25" s="29"/>
      <c r="E25" s="29"/>
      <c r="F25" s="29"/>
      <c r="G25" s="29"/>
      <c r="H25" s="29"/>
      <c r="I25" s="88"/>
    </row>
    <row r="26" customFormat="false" ht="15" hidden="false" customHeight="false" outlineLevel="0" collapsed="false">
      <c r="A26" s="87" t="s">
        <v>82</v>
      </c>
      <c r="B26" s="86" t="s">
        <v>291</v>
      </c>
      <c r="C26" s="29"/>
      <c r="D26" s="29"/>
      <c r="E26" s="29"/>
      <c r="F26" s="29"/>
      <c r="G26" s="29"/>
      <c r="H26" s="29"/>
      <c r="I26" s="88"/>
    </row>
    <row r="27" customFormat="false" ht="15" hidden="false" customHeight="false" outlineLevel="0" collapsed="false">
      <c r="A27" s="5" t="s">
        <v>85</v>
      </c>
      <c r="B27" s="86" t="s">
        <v>290</v>
      </c>
      <c r="C27" s="29"/>
      <c r="D27" s="29"/>
      <c r="E27" s="29"/>
      <c r="F27" s="29"/>
      <c r="G27" s="29"/>
      <c r="H27" s="29"/>
      <c r="I27" s="88"/>
    </row>
    <row r="29" customFormat="false" ht="15" hidden="false" customHeight="false" outlineLevel="0" collapsed="false">
      <c r="A29" s="17" t="s">
        <v>286</v>
      </c>
    </row>
    <row r="30" customFormat="false" ht="15" hidden="false" customHeight="false" outlineLevel="0" collapsed="false">
      <c r="A30" s="22" t="s">
        <v>287</v>
      </c>
      <c r="B30" s="11" t="n">
        <v>0</v>
      </c>
    </row>
    <row r="31" customFormat="false" ht="15" hidden="false" customHeight="false" outlineLevel="0" collapsed="false">
      <c r="A31" s="22" t="s">
        <v>288</v>
      </c>
      <c r="B31" s="11"/>
    </row>
    <row r="38" customFormat="false" ht="15" hidden="false" customHeight="false" outlineLevel="0" collapsed="false">
      <c r="A38" s="4" t="s">
        <v>277</v>
      </c>
    </row>
    <row r="39" customFormat="false" ht="15" hidden="false" customHeight="false" outlineLevel="0" collapsed="false">
      <c r="A39" s="22" t="s">
        <v>292</v>
      </c>
      <c r="B39" s="22"/>
      <c r="C39" s="22"/>
      <c r="D39" s="22"/>
      <c r="E39" s="22"/>
      <c r="F39" s="22"/>
      <c r="G39" s="22"/>
      <c r="H39" s="22"/>
    </row>
    <row r="40" customFormat="false" ht="15" hidden="false" customHeight="false" outlineLevel="0" collapsed="false">
      <c r="A40" s="22" t="s">
        <v>293</v>
      </c>
      <c r="B40" s="22"/>
      <c r="C40" s="22"/>
      <c r="D40" s="22"/>
      <c r="E40" s="22"/>
      <c r="F40" s="22"/>
      <c r="G40" s="22"/>
      <c r="H40" s="22"/>
    </row>
    <row r="41" customFormat="false" ht="15" hidden="false" customHeight="false" outlineLevel="0" collapsed="false">
      <c r="A41" s="22" t="s">
        <v>294</v>
      </c>
      <c r="B41" s="22"/>
      <c r="C41" s="22"/>
      <c r="D41" s="22"/>
      <c r="E41" s="22"/>
      <c r="F41" s="22"/>
      <c r="G41" s="22"/>
      <c r="H41" s="22"/>
    </row>
    <row r="43" customFormat="false" ht="15" hidden="false" customHeight="false" outlineLevel="0" collapsed="false">
      <c r="A43" s="4" t="s">
        <v>295</v>
      </c>
    </row>
    <row r="44" customFormat="false" ht="15" hidden="false" customHeight="false" outlineLevel="0" collapsed="false">
      <c r="A44" s="22" t="s">
        <v>296</v>
      </c>
      <c r="B44" s="22"/>
      <c r="C44" s="22"/>
      <c r="D44" s="22"/>
      <c r="E44" s="22"/>
    </row>
    <row r="45" customFormat="false" ht="15" hidden="false" customHeight="false" outlineLevel="0" collapsed="false">
      <c r="A45" s="22" t="s">
        <v>297</v>
      </c>
      <c r="B45" s="22"/>
      <c r="C45" s="22"/>
      <c r="D45" s="26"/>
      <c r="E45" s="22"/>
    </row>
    <row r="46" customFormat="false" ht="15" hidden="false" customHeight="false" outlineLevel="0" collapsed="false">
      <c r="A46" s="22" t="s">
        <v>298</v>
      </c>
      <c r="B46" s="22"/>
      <c r="C46" s="26"/>
      <c r="D46" s="22"/>
      <c r="E46" s="22"/>
      <c r="F46" s="22"/>
      <c r="G46" s="22"/>
    </row>
    <row r="47" customFormat="false" ht="15" hidden="false" customHeight="false" outlineLevel="0" collapsed="false">
      <c r="A47" s="22" t="s">
        <v>299</v>
      </c>
      <c r="B47" s="22"/>
      <c r="C47" s="22"/>
    </row>
    <row r="49" customFormat="false" ht="15" hidden="false" customHeight="false" outlineLevel="0" collapsed="false">
      <c r="A49" s="4" t="s">
        <v>300</v>
      </c>
    </row>
    <row r="50" customFormat="false" ht="16.4" hidden="false" customHeight="false" outlineLevel="0" collapsed="false">
      <c r="A50" s="5" t="s">
        <v>301</v>
      </c>
      <c r="B50" s="20"/>
      <c r="C50" s="20"/>
      <c r="D50" s="20"/>
      <c r="E50" s="6"/>
    </row>
    <row r="51" customFormat="false" ht="16.4" hidden="false" customHeight="false" outlineLevel="0" collapsed="false">
      <c r="A51" s="5" t="s">
        <v>302</v>
      </c>
      <c r="B51" s="20"/>
      <c r="C51" s="20"/>
      <c r="D51" s="20"/>
      <c r="E51" s="20"/>
      <c r="F51" s="20"/>
      <c r="G51" s="6"/>
    </row>
    <row r="52" customFormat="false" ht="16.4" hidden="false" customHeight="false" outlineLevel="0" collapsed="false">
      <c r="A52" s="89" t="s">
        <v>303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1"/>
    </row>
    <row r="53" customFormat="false" ht="16.4" hidden="false" customHeight="false" outlineLevel="0" collapsed="false">
      <c r="A53" s="5" t="s">
        <v>304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6"/>
    </row>
    <row r="54" customFormat="false" ht="16.4" hidden="false" customHeight="false" outlineLevel="0" collapsed="false">
      <c r="A54" s="5" t="s">
        <v>305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6"/>
    </row>
    <row r="55" customFormat="false" ht="16.4" hidden="false" customHeight="false" outlineLevel="0" collapsed="false">
      <c r="A55" s="87" t="s">
        <v>306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3"/>
    </row>
    <row r="56" customFormat="false" ht="16.4" hidden="false" customHeight="false" outlineLevel="0" collapsed="false">
      <c r="A56" s="5" t="s">
        <v>307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6"/>
    </row>
    <row r="57" customFormat="false" ht="16.4" hidden="false" customHeight="false" outlineLevel="0" collapsed="false">
      <c r="A57" s="5" t="s">
        <v>308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6"/>
    </row>
    <row r="58" customFormat="false" ht="16.4" hidden="false" customHeight="false" outlineLevel="0" collapsed="false">
      <c r="A58" s="87" t="s">
        <v>309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3"/>
    </row>
    <row r="59" customFormat="false" ht="16.4" hidden="false" customHeight="false" outlineLevel="0" collapsed="false">
      <c r="A59" s="5" t="s">
        <v>310</v>
      </c>
      <c r="B59" s="20"/>
      <c r="C59" s="20"/>
      <c r="D59" s="20"/>
      <c r="E59" s="20"/>
      <c r="F5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2026-01-23T14:26:55Z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